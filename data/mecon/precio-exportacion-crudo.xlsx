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nisterio\Documents\2-archivos COMEX\Info_Trimestral\"/>
    </mc:Choice>
  </mc:AlternateContent>
  <bookViews>
    <workbookView xWindow="0" yWindow="0" windowWidth="19200" windowHeight="6470"/>
  </bookViews>
  <sheets>
    <sheet name="precios" sheetId="1" r:id="rId1"/>
    <sheet name="tipos de crud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4" i="1" l="1"/>
  <c r="U28" i="1"/>
  <c r="V34" i="1"/>
  <c r="U34" i="1"/>
  <c r="T34" i="1"/>
  <c r="R34" i="1"/>
  <c r="V33" i="1"/>
  <c r="U33" i="1"/>
  <c r="T33" i="1"/>
  <c r="S33" i="1"/>
  <c r="R33" i="1"/>
  <c r="V32" i="1"/>
  <c r="U32" i="1"/>
  <c r="T32" i="1"/>
  <c r="S32" i="1"/>
  <c r="R32" i="1"/>
  <c r="V31" i="1"/>
  <c r="U31" i="1"/>
  <c r="T31" i="1"/>
  <c r="S31" i="1"/>
  <c r="R31" i="1"/>
  <c r="V30" i="1"/>
  <c r="U30" i="1"/>
  <c r="T30" i="1"/>
  <c r="S30" i="1"/>
  <c r="R30" i="1"/>
  <c r="V29" i="1"/>
  <c r="U29" i="1"/>
  <c r="T29" i="1"/>
  <c r="S29" i="1"/>
  <c r="R29" i="1"/>
  <c r="V28" i="1"/>
  <c r="T28" i="1"/>
  <c r="S28" i="1"/>
  <c r="R28" i="1"/>
  <c r="V27" i="1"/>
  <c r="U27" i="1"/>
  <c r="T27" i="1"/>
  <c r="S27" i="1"/>
  <c r="R27" i="1"/>
  <c r="V26" i="1"/>
  <c r="U26" i="1"/>
  <c r="T26" i="1"/>
  <c r="S26" i="1"/>
  <c r="R26" i="1"/>
  <c r="V25" i="1"/>
  <c r="U25" i="1"/>
  <c r="T25" i="1"/>
  <c r="S25" i="1"/>
  <c r="R25" i="1"/>
  <c r="V24" i="1"/>
  <c r="U24" i="1"/>
  <c r="T24" i="1"/>
  <c r="S24" i="1"/>
  <c r="R24" i="1"/>
  <c r="V23" i="1"/>
  <c r="U23" i="1"/>
  <c r="T23" i="1"/>
  <c r="S23" i="1"/>
  <c r="R23" i="1"/>
  <c r="V22" i="1"/>
  <c r="U22" i="1"/>
  <c r="T22" i="1"/>
  <c r="S22" i="1"/>
  <c r="R22" i="1"/>
  <c r="V21" i="1"/>
  <c r="U21" i="1"/>
  <c r="T21" i="1"/>
  <c r="S21" i="1"/>
  <c r="R21" i="1"/>
  <c r="V20" i="1"/>
  <c r="U20" i="1"/>
  <c r="T20" i="1"/>
  <c r="S20" i="1"/>
  <c r="R20" i="1"/>
  <c r="V19" i="1"/>
  <c r="U19" i="1"/>
  <c r="T19" i="1"/>
  <c r="S19" i="1"/>
  <c r="R19" i="1"/>
  <c r="V18" i="1"/>
  <c r="U18" i="1"/>
  <c r="T18" i="1"/>
  <c r="S18" i="1"/>
  <c r="R18" i="1"/>
  <c r="V17" i="1"/>
  <c r="U17" i="1"/>
  <c r="T17" i="1"/>
  <c r="S17" i="1"/>
  <c r="R17" i="1"/>
  <c r="V16" i="1"/>
  <c r="U16" i="1"/>
  <c r="T16" i="1"/>
  <c r="S16" i="1"/>
  <c r="R16" i="1"/>
  <c r="V15" i="1"/>
  <c r="U15" i="1"/>
  <c r="T15" i="1"/>
  <c r="S15" i="1"/>
  <c r="R15" i="1"/>
  <c r="V14" i="1"/>
  <c r="U14" i="1"/>
  <c r="T14" i="1"/>
  <c r="S14" i="1"/>
  <c r="R14" i="1"/>
  <c r="V13" i="1"/>
  <c r="U13" i="1"/>
  <c r="T13" i="1"/>
  <c r="S13" i="1"/>
  <c r="R13" i="1"/>
  <c r="V12" i="1"/>
  <c r="U12" i="1"/>
  <c r="T12" i="1"/>
  <c r="S12" i="1"/>
  <c r="R12" i="1"/>
  <c r="V11" i="1"/>
  <c r="U11" i="1"/>
  <c r="T11" i="1"/>
  <c r="S11" i="1"/>
  <c r="R11" i="1"/>
  <c r="V10" i="1"/>
  <c r="U10" i="1"/>
  <c r="T10" i="1"/>
  <c r="S10" i="1"/>
  <c r="R10" i="1"/>
  <c r="V9" i="1"/>
  <c r="U9" i="1"/>
  <c r="T9" i="1"/>
  <c r="S9" i="1"/>
  <c r="R9" i="1"/>
  <c r="V8" i="1"/>
  <c r="U8" i="1"/>
  <c r="T8" i="1"/>
  <c r="S8" i="1"/>
  <c r="R8" i="1"/>
  <c r="V7" i="1"/>
  <c r="U7" i="1"/>
  <c r="T7" i="1"/>
  <c r="S7" i="1"/>
  <c r="R7" i="1"/>
  <c r="V6" i="1"/>
  <c r="U6" i="1"/>
  <c r="T6" i="1"/>
  <c r="S6" i="1"/>
  <c r="R6" i="1"/>
  <c r="R5" i="1"/>
  <c r="S5" i="1"/>
  <c r="T5" i="1"/>
  <c r="U5" i="1"/>
  <c r="V5" i="1"/>
  <c r="Q34" i="1"/>
  <c r="P34" i="1"/>
  <c r="O34" i="1"/>
  <c r="N34" i="1"/>
  <c r="M34" i="1"/>
  <c r="Q33" i="1"/>
  <c r="P33" i="1"/>
  <c r="O33" i="1"/>
  <c r="N33" i="1"/>
  <c r="M33" i="1"/>
  <c r="Q32" i="1"/>
  <c r="P32" i="1"/>
  <c r="O32" i="1"/>
  <c r="N32" i="1"/>
  <c r="M32" i="1"/>
  <c r="Q31" i="1"/>
  <c r="P31" i="1"/>
  <c r="O31" i="1"/>
  <c r="N31" i="1"/>
  <c r="M31" i="1"/>
  <c r="Q30" i="1"/>
  <c r="P30" i="1"/>
  <c r="O30" i="1"/>
  <c r="N30" i="1"/>
  <c r="M30" i="1"/>
  <c r="Q29" i="1"/>
  <c r="P29" i="1"/>
  <c r="O29" i="1"/>
  <c r="N29" i="1"/>
  <c r="M29" i="1"/>
  <c r="Q28" i="1"/>
  <c r="P28" i="1"/>
  <c r="O28" i="1"/>
  <c r="N28" i="1"/>
  <c r="M28" i="1"/>
  <c r="Q27" i="1"/>
  <c r="P27" i="1"/>
  <c r="O27" i="1"/>
  <c r="N27" i="1"/>
  <c r="M27" i="1"/>
  <c r="Q26" i="1"/>
  <c r="P26" i="1"/>
  <c r="O26" i="1"/>
  <c r="N26" i="1"/>
  <c r="M26" i="1"/>
  <c r="Q25" i="1"/>
  <c r="P25" i="1"/>
  <c r="O25" i="1"/>
  <c r="N25" i="1"/>
  <c r="M25" i="1"/>
  <c r="Q24" i="1"/>
  <c r="P24" i="1"/>
  <c r="O24" i="1"/>
  <c r="N24" i="1"/>
  <c r="M24" i="1"/>
  <c r="Q23" i="1"/>
  <c r="P23" i="1"/>
  <c r="O23" i="1"/>
  <c r="N23" i="1"/>
  <c r="M23" i="1"/>
  <c r="Q22" i="1"/>
  <c r="P22" i="1"/>
  <c r="O22" i="1"/>
  <c r="N22" i="1"/>
  <c r="M22" i="1"/>
  <c r="Q21" i="1"/>
  <c r="P21" i="1"/>
  <c r="O21" i="1"/>
  <c r="N21" i="1"/>
  <c r="M21" i="1"/>
  <c r="Q20" i="1"/>
  <c r="P20" i="1"/>
  <c r="O20" i="1"/>
  <c r="N20" i="1"/>
  <c r="M20" i="1"/>
  <c r="Q19" i="1"/>
  <c r="P19" i="1"/>
  <c r="O19" i="1"/>
  <c r="N19" i="1"/>
  <c r="M19" i="1"/>
  <c r="Q18" i="1"/>
  <c r="P18" i="1"/>
  <c r="O18" i="1"/>
  <c r="N18" i="1"/>
  <c r="M18" i="1"/>
  <c r="Q17" i="1"/>
  <c r="P17" i="1"/>
  <c r="O17" i="1"/>
  <c r="M17" i="1"/>
  <c r="Q16" i="1"/>
  <c r="P16" i="1"/>
  <c r="O16" i="1"/>
  <c r="N16" i="1"/>
  <c r="M16" i="1"/>
  <c r="Q15" i="1"/>
  <c r="P15" i="1"/>
  <c r="O15" i="1"/>
  <c r="N15" i="1"/>
  <c r="M15" i="1"/>
  <c r="Q14" i="1"/>
  <c r="P14" i="1"/>
  <c r="O14" i="1"/>
  <c r="N14" i="1"/>
  <c r="M14" i="1"/>
  <c r="Q13" i="1"/>
  <c r="P13" i="1"/>
  <c r="O13" i="1"/>
  <c r="N13" i="1"/>
  <c r="M13" i="1"/>
  <c r="Q12" i="1"/>
  <c r="P12" i="1"/>
  <c r="O12" i="1"/>
  <c r="N12" i="1"/>
  <c r="M12" i="1"/>
  <c r="Q11" i="1"/>
  <c r="P11" i="1"/>
  <c r="O11" i="1"/>
  <c r="N11" i="1"/>
  <c r="M11" i="1"/>
  <c r="Q10" i="1"/>
  <c r="P10" i="1"/>
  <c r="O10" i="1"/>
  <c r="N10" i="1"/>
  <c r="M10" i="1"/>
  <c r="Q9" i="1"/>
  <c r="P9" i="1"/>
  <c r="O9" i="1"/>
  <c r="N9" i="1"/>
  <c r="M9" i="1"/>
  <c r="Q8" i="1"/>
  <c r="P8" i="1"/>
  <c r="O8" i="1"/>
  <c r="N8" i="1"/>
  <c r="M8" i="1"/>
  <c r="Q7" i="1"/>
  <c r="P7" i="1"/>
  <c r="O7" i="1"/>
  <c r="N7" i="1"/>
  <c r="M7" i="1"/>
  <c r="Q6" i="1"/>
  <c r="P6" i="1"/>
  <c r="O6" i="1"/>
  <c r="N6" i="1"/>
  <c r="M6" i="1"/>
  <c r="Q5" i="1"/>
  <c r="P5" i="1"/>
  <c r="O5" i="1"/>
  <c r="N5" i="1"/>
  <c r="M5" i="1"/>
  <c r="N17" i="1"/>
</calcChain>
</file>

<file path=xl/sharedStrings.xml><?xml version="1.0" encoding="utf-8"?>
<sst xmlns="http://schemas.openxmlformats.org/spreadsheetml/2006/main" count="117" uniqueCount="39">
  <si>
    <t>TIPO DE CRUDO</t>
  </si>
  <si>
    <t>ESCALANTE</t>
  </si>
  <si>
    <t>CAÑADON SECO</t>
  </si>
  <si>
    <t>MARIA INES</t>
  </si>
  <si>
    <t>SAN SEBASTIAN</t>
  </si>
  <si>
    <t>MEDANITO</t>
  </si>
  <si>
    <t>ICE BRENT</t>
  </si>
  <si>
    <t>MAGALLANES</t>
  </si>
  <si>
    <t>CUENCA</t>
  </si>
  <si>
    <t>PROVINCIA</t>
  </si>
  <si>
    <t>CUENCA AUSTRAL OFF-SHORE</t>
  </si>
  <si>
    <t>SANTA CRUZ</t>
  </si>
  <si>
    <t>HIDRA (1)</t>
  </si>
  <si>
    <t>TIERRA DEL FUEGO + ESTADO NACIONAL</t>
  </si>
  <si>
    <t>SAN SEBASTIÁN</t>
  </si>
  <si>
    <t>CUENCA AUSTRAL ON-SHORE</t>
  </si>
  <si>
    <t>TIERRA DEL FUEGO</t>
  </si>
  <si>
    <t>MARÍA INÉS</t>
  </si>
  <si>
    <t>CAÑADÓN SECO</t>
  </si>
  <si>
    <t>CUENCA GOLFO SAN JORGE</t>
  </si>
  <si>
    <t>CHUBUT</t>
  </si>
  <si>
    <t>CUENCA NEUQUINA</t>
  </si>
  <si>
    <t>LA PAMPA + MENDOZA + NEUQUÉN + RÍO NEGRO</t>
  </si>
  <si>
    <t>MENDOZA NORTE</t>
  </si>
  <si>
    <t>CUENCA CUYANA</t>
  </si>
  <si>
    <t>MENDOZA</t>
  </si>
  <si>
    <t>NOROESTE</t>
  </si>
  <si>
    <t>CUENCA NOROESTE</t>
  </si>
  <si>
    <t>FORMOSA + JUJUY + SALTA</t>
  </si>
  <si>
    <t>Mes/Tipo crudo</t>
  </si>
  <si>
    <t xml:space="preserve">Futures Settlements 1st line (Bloomberg) </t>
  </si>
  <si>
    <t>Precio mercado interno (fuente regalías)</t>
  </si>
  <si>
    <t>Precio mercado interno - ICE BRENT</t>
  </si>
  <si>
    <t>Precio FOB exportación - ICE BRENT</t>
  </si>
  <si>
    <t>US$/BBL</t>
  </si>
  <si>
    <t>*Precio FOB sin descuento de Derechos de Exportación</t>
  </si>
  <si>
    <t>Precios por tipo de crudo en dólares por barril. Promedios mensuales</t>
  </si>
  <si>
    <t/>
  </si>
  <si>
    <t>Precio FOB exportación (fuente SESCO)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</si>
</sst>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0.0"/>
    <numFmt numFmtId="166" formatCode="_-* #,##0.00\ _€_-;\-* #,##0.00\ _€_-;_-* &quot;-&quot;??\ _€_-;_-@_-"/>
    <numFmt numFmtId="167" formatCode="#,##0.0"/>
  </numFmts>
  <fonts count="11" x14ac:knownFonts="1">
    <font>
      <sz val="12"/>
      <color indexed="24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2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" fontId="4" fillId="0" borderId="0" applyFont="0" applyFill="0" applyBorder="0" applyAlignment="0" applyProtection="0"/>
    <xf numFmtId="0" fontId="2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/>
  </cellStyleXfs>
  <cellXfs count="41">
    <xf numFmtId="0" fontId="0" fillId="0" borderId="0" xfId="0"/>
    <xf numFmtId="0" fontId="3" fillId="2" borderId="8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2" borderId="10" xfId="2" applyFont="1" applyFill="1" applyBorder="1" applyAlignment="1">
      <alignment horizontal="center" vertical="center"/>
    </xf>
    <xf numFmtId="0" fontId="2" fillId="0" borderId="11" xfId="2" applyBorder="1"/>
    <xf numFmtId="0" fontId="6" fillId="0" borderId="5" xfId="3" applyFont="1" applyFill="1" applyBorder="1" applyAlignment="1">
      <alignment horizontal="left"/>
    </xf>
    <xf numFmtId="0" fontId="2" fillId="0" borderId="12" xfId="2" applyBorder="1"/>
    <xf numFmtId="0" fontId="2" fillId="0" borderId="13" xfId="2" applyFont="1" applyBorder="1"/>
    <xf numFmtId="0" fontId="6" fillId="0" borderId="14" xfId="3" applyFont="1" applyFill="1" applyBorder="1" applyAlignment="1">
      <alignment horizontal="left"/>
    </xf>
    <xf numFmtId="0" fontId="2" fillId="0" borderId="15" xfId="2" applyBorder="1"/>
    <xf numFmtId="0" fontId="2" fillId="0" borderId="13" xfId="2" applyBorder="1"/>
    <xf numFmtId="0" fontId="2" fillId="0" borderId="16" xfId="2" applyBorder="1"/>
    <xf numFmtId="0" fontId="6" fillId="0" borderId="17" xfId="3" applyFont="1" applyFill="1" applyBorder="1" applyAlignment="1">
      <alignment horizontal="left"/>
    </xf>
    <xf numFmtId="0" fontId="2" fillId="0" borderId="18" xfId="2" applyBorder="1"/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7" fontId="6" fillId="3" borderId="6" xfId="0" applyNumberFormat="1" applyFont="1" applyFill="1" applyBorder="1" applyAlignment="1">
      <alignment horizontal="center" vertical="center"/>
    </xf>
    <xf numFmtId="165" fontId="6" fillId="3" borderId="6" xfId="0" applyNumberFormat="1" applyFont="1" applyFill="1" applyBorder="1" applyAlignment="1">
      <alignment horizontal="center" vertical="center"/>
    </xf>
    <xf numFmtId="165" fontId="6" fillId="3" borderId="0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7" fontId="6" fillId="2" borderId="6" xfId="0" applyNumberFormat="1" applyFont="1" applyFill="1" applyBorder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textRotation="90"/>
    </xf>
    <xf numFmtId="1" fontId="7" fillId="2" borderId="2" xfId="0" applyNumberFormat="1" applyFont="1" applyFill="1" applyBorder="1" applyAlignment="1">
      <alignment horizontal="center" vertical="center" textRotation="90" wrapText="1"/>
    </xf>
    <xf numFmtId="1" fontId="7" fillId="2" borderId="3" xfId="0" applyNumberFormat="1" applyFont="1" applyFill="1" applyBorder="1" applyAlignment="1">
      <alignment horizontal="center" vertical="center" textRotation="90" wrapText="1"/>
    </xf>
    <xf numFmtId="1" fontId="7" fillId="2" borderId="4" xfId="0" applyNumberFormat="1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167" fontId="6" fillId="0" borderId="0" xfId="1" applyNumberFormat="1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</cellXfs>
  <cellStyles count="6">
    <cellStyle name="Millares" xfId="1" builtinId="3"/>
    <cellStyle name="Millares 2" xfId="5"/>
    <cellStyle name="Normal" xfId="0" builtinId="0"/>
    <cellStyle name="Normal 121" xfId="3"/>
    <cellStyle name="Normal 2" xfId="4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Z42"/>
  <sheetViews>
    <sheetView showGridLines="0" tabSelected="1" topLeftCell="A19" workbookViewId="0">
      <selection activeCell="H31" sqref="H31"/>
    </sheetView>
  </sheetViews>
  <sheetFormatPr baseColWidth="10" defaultColWidth="11.53515625" defaultRowHeight="15.5" x14ac:dyDescent="0.35"/>
  <cols>
    <col min="1" max="1" width="6.765625" style="14" customWidth="1"/>
    <col min="2" max="2" width="15.765625" style="14" customWidth="1"/>
    <col min="3" max="12" width="3.765625" style="14" customWidth="1"/>
    <col min="13" max="13" width="4.23046875" style="14" bestFit="1" customWidth="1"/>
    <col min="14" max="14" width="7.61328125" style="14" bestFit="1" customWidth="1"/>
    <col min="15" max="22" width="4.23046875" style="14" bestFit="1" customWidth="1"/>
    <col min="23" max="25" width="11.07421875"/>
    <col min="26" max="26" width="4" style="14" customWidth="1"/>
    <col min="27" max="16384" width="11.53515625" style="14"/>
  </cols>
  <sheetData>
    <row r="1" spans="1:26" ht="13" x14ac:dyDescent="0.35">
      <c r="A1" s="18" t="s">
        <v>36</v>
      </c>
      <c r="W1" s="14"/>
      <c r="X1" s="14"/>
      <c r="Y1" s="14"/>
    </row>
    <row r="3" spans="1:26" ht="52.5" customHeight="1" x14ac:dyDescent="0.35">
      <c r="A3" s="31" t="s">
        <v>34</v>
      </c>
      <c r="B3" s="32" t="s">
        <v>30</v>
      </c>
      <c r="C3" s="38" t="s">
        <v>38</v>
      </c>
      <c r="D3" s="39"/>
      <c r="E3" s="39"/>
      <c r="F3" s="39"/>
      <c r="G3" s="40"/>
      <c r="H3" s="35" t="s">
        <v>31</v>
      </c>
      <c r="I3" s="36"/>
      <c r="J3" s="36"/>
      <c r="K3" s="36"/>
      <c r="L3" s="37"/>
      <c r="M3" s="35" t="s">
        <v>33</v>
      </c>
      <c r="N3" s="36"/>
      <c r="O3" s="36"/>
      <c r="P3" s="36"/>
      <c r="Q3" s="37"/>
      <c r="R3" s="35" t="s">
        <v>32</v>
      </c>
      <c r="S3" s="36"/>
      <c r="T3" s="36"/>
      <c r="U3" s="36"/>
      <c r="V3" s="37"/>
      <c r="W3" s="14"/>
      <c r="X3" s="14"/>
      <c r="Y3" s="14"/>
    </row>
    <row r="4" spans="1:26" ht="90" customHeight="1" x14ac:dyDescent="0.35">
      <c r="A4" s="27" t="s">
        <v>29</v>
      </c>
      <c r="B4" s="28" t="s">
        <v>6</v>
      </c>
      <c r="C4" s="28" t="s">
        <v>1</v>
      </c>
      <c r="D4" s="29" t="s">
        <v>2</v>
      </c>
      <c r="E4" s="29" t="s">
        <v>3</v>
      </c>
      <c r="F4" s="29" t="s">
        <v>4</v>
      </c>
      <c r="G4" s="30" t="s">
        <v>5</v>
      </c>
      <c r="H4" s="28" t="s">
        <v>1</v>
      </c>
      <c r="I4" s="29" t="s">
        <v>2</v>
      </c>
      <c r="J4" s="29" t="s">
        <v>3</v>
      </c>
      <c r="K4" s="29" t="s">
        <v>4</v>
      </c>
      <c r="L4" s="30" t="s">
        <v>5</v>
      </c>
      <c r="M4" s="28" t="s">
        <v>1</v>
      </c>
      <c r="N4" s="29" t="s">
        <v>2</v>
      </c>
      <c r="O4" s="29" t="s">
        <v>3</v>
      </c>
      <c r="P4" s="29" t="s">
        <v>4</v>
      </c>
      <c r="Q4" s="30" t="s">
        <v>5</v>
      </c>
      <c r="R4" s="28" t="s">
        <v>1</v>
      </c>
      <c r="S4" s="29" t="s">
        <v>2</v>
      </c>
      <c r="T4" s="29" t="s">
        <v>3</v>
      </c>
      <c r="U4" s="29" t="s">
        <v>4</v>
      </c>
      <c r="V4" s="30" t="s">
        <v>5</v>
      </c>
      <c r="W4" s="14"/>
      <c r="X4" s="14"/>
      <c r="Y4" s="14"/>
    </row>
    <row r="5" spans="1:26" ht="12.5" x14ac:dyDescent="0.35">
      <c r="A5" s="19">
        <v>43466</v>
      </c>
      <c r="B5" s="20">
        <v>60.238993640699526</v>
      </c>
      <c r="C5" s="20">
        <v>56.30068210496691</v>
      </c>
      <c r="D5" s="21" t="s">
        <v>37</v>
      </c>
      <c r="E5" s="21" t="s">
        <v>37</v>
      </c>
      <c r="F5" s="21">
        <v>52.452913409479891</v>
      </c>
      <c r="G5" s="22" t="s">
        <v>37</v>
      </c>
      <c r="H5" s="20">
        <v>50.300629015102295</v>
      </c>
      <c r="I5" s="21">
        <v>49.699218836607663</v>
      </c>
      <c r="J5" s="21">
        <v>53.953542922082491</v>
      </c>
      <c r="K5" s="21">
        <v>47.256085625695647</v>
      </c>
      <c r="L5" s="22">
        <v>50.666272550396648</v>
      </c>
      <c r="M5" s="21">
        <f t="shared" ref="M5:M34" si="0">IF(C5="","",C5-$B5)</f>
        <v>-3.9383115357326162</v>
      </c>
      <c r="N5" s="21" t="str">
        <f t="shared" ref="N5:N34" si="1">IF(D5="","",D5-$B5)</f>
        <v/>
      </c>
      <c r="O5" s="21" t="str">
        <f t="shared" ref="O5:O34" si="2">IF(E5="","",E5-$B5)</f>
        <v/>
      </c>
      <c r="P5" s="21">
        <f t="shared" ref="P5:P34" si="3">IF(F5="","",F5-$B5)</f>
        <v>-7.7860802312196356</v>
      </c>
      <c r="Q5" s="22" t="str">
        <f t="shared" ref="Q5:Q34" si="4">IF(G5="","",G5-$B5)</f>
        <v/>
      </c>
      <c r="R5" s="21">
        <f t="shared" ref="R5" si="5">IF(H5="","",H5-$B5)</f>
        <v>-9.9383646255972309</v>
      </c>
      <c r="S5" s="21">
        <f t="shared" ref="S5" si="6">IF(I5="","",I5-$B5)</f>
        <v>-10.539774804091863</v>
      </c>
      <c r="T5" s="21">
        <f t="shared" ref="T5" si="7">IF(J5="","",J5-$B5)</f>
        <v>-6.2854507186170352</v>
      </c>
      <c r="U5" s="21">
        <f t="shared" ref="U5" si="8">IF(K5="","",K5-$B5)</f>
        <v>-12.982908015003879</v>
      </c>
      <c r="V5" s="22">
        <f t="shared" ref="V5" si="9">IF(L5="","",L5-$B5)</f>
        <v>-9.5727210903028777</v>
      </c>
      <c r="W5" s="34"/>
      <c r="X5" s="16"/>
      <c r="Y5" s="14"/>
      <c r="Z5" s="17"/>
    </row>
    <row r="6" spans="1:26" ht="12.5" x14ac:dyDescent="0.35">
      <c r="A6" s="23">
        <v>43497</v>
      </c>
      <c r="B6" s="24">
        <v>64.318481148021107</v>
      </c>
      <c r="C6" s="24">
        <v>56.459474887738217</v>
      </c>
      <c r="D6" s="25" t="s">
        <v>37</v>
      </c>
      <c r="E6" s="25">
        <v>57.194405305525123</v>
      </c>
      <c r="F6" s="25">
        <v>48.736196684415901</v>
      </c>
      <c r="G6" s="26">
        <v>59.208354046086363</v>
      </c>
      <c r="H6" s="24">
        <v>53.256683320218002</v>
      </c>
      <c r="I6" s="25">
        <v>53.964349833126498</v>
      </c>
      <c r="J6" s="25">
        <v>52.566453669068594</v>
      </c>
      <c r="K6" s="25">
        <v>42.510674512959135</v>
      </c>
      <c r="L6" s="26">
        <v>53.778808016528231</v>
      </c>
      <c r="M6" s="25">
        <f t="shared" si="0"/>
        <v>-7.8590062602828894</v>
      </c>
      <c r="N6" s="25" t="str">
        <f t="shared" si="1"/>
        <v/>
      </c>
      <c r="O6" s="25">
        <f t="shared" si="2"/>
        <v>-7.1240758424959836</v>
      </c>
      <c r="P6" s="25">
        <f t="shared" si="3"/>
        <v>-15.582284463605205</v>
      </c>
      <c r="Q6" s="26">
        <f t="shared" si="4"/>
        <v>-5.1101271019347436</v>
      </c>
      <c r="R6" s="24">
        <f t="shared" ref="R6:R34" si="10">IF(H6="","",H6-$B6)</f>
        <v>-11.061797827803105</v>
      </c>
      <c r="S6" s="25">
        <f t="shared" ref="S6:S34" si="11">IF(I6="","",I6-$B6)</f>
        <v>-10.354131314894609</v>
      </c>
      <c r="T6" s="25">
        <f t="shared" ref="T6:T34" si="12">IF(J6="","",J6-$B6)</f>
        <v>-11.752027478952513</v>
      </c>
      <c r="U6" s="25">
        <f t="shared" ref="U6:U34" si="13">IF(K6="","",K6-$B6)</f>
        <v>-21.807806635061972</v>
      </c>
      <c r="V6" s="26">
        <f t="shared" ref="V6:V34" si="14">IF(L6="","",L6-$B6)</f>
        <v>-10.539673131492876</v>
      </c>
      <c r="W6" s="34"/>
      <c r="X6" s="16"/>
      <c r="Y6" s="14"/>
      <c r="Z6" s="17"/>
    </row>
    <row r="7" spans="1:26" ht="12.5" x14ac:dyDescent="0.35">
      <c r="A7" s="19">
        <v>43525</v>
      </c>
      <c r="B7" s="20">
        <v>67.035011310470168</v>
      </c>
      <c r="C7" s="20">
        <v>63.851098641717421</v>
      </c>
      <c r="D7" s="21" t="s">
        <v>37</v>
      </c>
      <c r="E7" s="21">
        <v>57.062216340947565</v>
      </c>
      <c r="F7" s="21">
        <v>58.420069530931649</v>
      </c>
      <c r="G7" s="22" t="s">
        <v>37</v>
      </c>
      <c r="H7" s="20">
        <v>56.399628685039509</v>
      </c>
      <c r="I7" s="21">
        <v>57.644951567571695</v>
      </c>
      <c r="J7" s="21">
        <v>53.636581237870658</v>
      </c>
      <c r="K7" s="21">
        <v>52.776796581332484</v>
      </c>
      <c r="L7" s="22">
        <v>57.58652339380761</v>
      </c>
      <c r="M7" s="21">
        <f t="shared" si="0"/>
        <v>-3.1839126687527468</v>
      </c>
      <c r="N7" s="21" t="str">
        <f t="shared" si="1"/>
        <v/>
      </c>
      <c r="O7" s="21">
        <f t="shared" si="2"/>
        <v>-9.972794969522603</v>
      </c>
      <c r="P7" s="21">
        <f t="shared" si="3"/>
        <v>-8.614941779538519</v>
      </c>
      <c r="Q7" s="22" t="str">
        <f t="shared" si="4"/>
        <v/>
      </c>
      <c r="R7" s="21">
        <f t="shared" si="10"/>
        <v>-10.635382625430658</v>
      </c>
      <c r="S7" s="21">
        <f t="shared" si="11"/>
        <v>-9.3900597428984725</v>
      </c>
      <c r="T7" s="21">
        <f t="shared" si="12"/>
        <v>-13.39843007259951</v>
      </c>
      <c r="U7" s="21">
        <f t="shared" si="13"/>
        <v>-14.258214729137684</v>
      </c>
      <c r="V7" s="22">
        <f t="shared" si="14"/>
        <v>-9.4484879166625575</v>
      </c>
      <c r="W7" s="34"/>
      <c r="X7" s="16"/>
      <c r="Y7" s="14"/>
    </row>
    <row r="8" spans="1:26" ht="12.5" x14ac:dyDescent="0.35">
      <c r="A8" s="23">
        <v>43556</v>
      </c>
      <c r="B8" s="24">
        <v>71.628571428571433</v>
      </c>
      <c r="C8" s="24">
        <v>68.846227630072931</v>
      </c>
      <c r="D8" s="25" t="s">
        <v>37</v>
      </c>
      <c r="E8" s="25">
        <v>61.787945962676012</v>
      </c>
      <c r="F8" s="25">
        <v>59.285092641658615</v>
      </c>
      <c r="G8" s="26" t="s">
        <v>37</v>
      </c>
      <c r="H8" s="24">
        <v>60.913512669092455</v>
      </c>
      <c r="I8" s="25">
        <v>61.62963044742893</v>
      </c>
      <c r="J8" s="25">
        <v>58.257274606455717</v>
      </c>
      <c r="K8" s="25">
        <v>58.387519128637294</v>
      </c>
      <c r="L8" s="26">
        <v>59.162921693201199</v>
      </c>
      <c r="M8" s="25">
        <f t="shared" si="0"/>
        <v>-2.782343798498502</v>
      </c>
      <c r="N8" s="25" t="str">
        <f t="shared" si="1"/>
        <v/>
      </c>
      <c r="O8" s="25">
        <f t="shared" si="2"/>
        <v>-9.8406254658954211</v>
      </c>
      <c r="P8" s="25">
        <f t="shared" si="3"/>
        <v>-12.343478786912819</v>
      </c>
      <c r="Q8" s="26" t="str">
        <f t="shared" si="4"/>
        <v/>
      </c>
      <c r="R8" s="24">
        <f t="shared" si="10"/>
        <v>-10.715058759478978</v>
      </c>
      <c r="S8" s="25">
        <f t="shared" si="11"/>
        <v>-9.9989409811425034</v>
      </c>
      <c r="T8" s="25">
        <f t="shared" si="12"/>
        <v>-13.371296822115717</v>
      </c>
      <c r="U8" s="25">
        <f t="shared" si="13"/>
        <v>-13.24105229993414</v>
      </c>
      <c r="V8" s="26">
        <f t="shared" si="14"/>
        <v>-12.465649735370235</v>
      </c>
      <c r="W8" s="34"/>
      <c r="X8" s="16"/>
      <c r="Y8" s="14"/>
    </row>
    <row r="9" spans="1:26" ht="12.5" x14ac:dyDescent="0.35">
      <c r="A9" s="19">
        <v>43586</v>
      </c>
      <c r="B9" s="20">
        <v>70.192380952380944</v>
      </c>
      <c r="C9" s="20">
        <v>67.921731360109291</v>
      </c>
      <c r="D9" s="21" t="s">
        <v>37</v>
      </c>
      <c r="E9" s="21" t="s">
        <v>37</v>
      </c>
      <c r="F9" s="21">
        <v>61.279718976592832</v>
      </c>
      <c r="G9" s="22" t="s">
        <v>37</v>
      </c>
      <c r="H9" s="20">
        <v>64.625803426081347</v>
      </c>
      <c r="I9" s="21">
        <v>66.315473190416597</v>
      </c>
      <c r="J9" s="21">
        <v>58.93214940910137</v>
      </c>
      <c r="K9" s="21">
        <v>59.1510574018127</v>
      </c>
      <c r="L9" s="22">
        <v>61.909779472103914</v>
      </c>
      <c r="M9" s="21">
        <f t="shared" si="0"/>
        <v>-2.2706495922716528</v>
      </c>
      <c r="N9" s="21" t="str">
        <f t="shared" si="1"/>
        <v/>
      </c>
      <c r="O9" s="21" t="str">
        <f t="shared" si="2"/>
        <v/>
      </c>
      <c r="P9" s="21">
        <f t="shared" si="3"/>
        <v>-8.9126619757881116</v>
      </c>
      <c r="Q9" s="22" t="str">
        <f t="shared" si="4"/>
        <v/>
      </c>
      <c r="R9" s="20">
        <f t="shared" si="10"/>
        <v>-5.5665775262995965</v>
      </c>
      <c r="S9" s="21">
        <f t="shared" si="11"/>
        <v>-3.8769077619643468</v>
      </c>
      <c r="T9" s="21">
        <f t="shared" si="12"/>
        <v>-11.260231543279573</v>
      </c>
      <c r="U9" s="21">
        <f t="shared" si="13"/>
        <v>-11.041323550568244</v>
      </c>
      <c r="V9" s="22">
        <f t="shared" si="14"/>
        <v>-8.2826014802770302</v>
      </c>
      <c r="W9" s="34"/>
      <c r="X9" s="16"/>
      <c r="Y9" s="14"/>
    </row>
    <row r="10" spans="1:26" ht="12.5" x14ac:dyDescent="0.35">
      <c r="A10" s="23">
        <v>43617</v>
      </c>
      <c r="B10" s="24">
        <v>62.276666666666671</v>
      </c>
      <c r="C10" s="24">
        <v>61.756402803121901</v>
      </c>
      <c r="D10" s="25" t="s">
        <v>37</v>
      </c>
      <c r="E10" s="25">
        <v>55.150363633319202</v>
      </c>
      <c r="F10" s="25">
        <v>51.500901092089563</v>
      </c>
      <c r="G10" s="26" t="s">
        <v>37</v>
      </c>
      <c r="H10" s="24">
        <v>58.6081571723971</v>
      </c>
      <c r="I10" s="25">
        <v>58.397833829498701</v>
      </c>
      <c r="J10" s="25">
        <v>49.922860760828492</v>
      </c>
      <c r="K10" s="25">
        <v>50.495309270154237</v>
      </c>
      <c r="L10" s="26">
        <v>57.743711192571666</v>
      </c>
      <c r="M10" s="25">
        <f t="shared" si="0"/>
        <v>-0.52026386354476983</v>
      </c>
      <c r="N10" s="25" t="str">
        <f t="shared" si="1"/>
        <v/>
      </c>
      <c r="O10" s="25">
        <f t="shared" si="2"/>
        <v>-7.1263030333474688</v>
      </c>
      <c r="P10" s="25">
        <f t="shared" si="3"/>
        <v>-10.775765574577107</v>
      </c>
      <c r="Q10" s="26" t="str">
        <f t="shared" si="4"/>
        <v/>
      </c>
      <c r="R10" s="24">
        <f t="shared" si="10"/>
        <v>-3.6685094942695713</v>
      </c>
      <c r="S10" s="25">
        <f t="shared" si="11"/>
        <v>-3.8788328371679697</v>
      </c>
      <c r="T10" s="25">
        <f t="shared" si="12"/>
        <v>-12.353805905838179</v>
      </c>
      <c r="U10" s="25">
        <f t="shared" si="13"/>
        <v>-11.781357396512433</v>
      </c>
      <c r="V10" s="26">
        <f t="shared" si="14"/>
        <v>-4.5329554740950044</v>
      </c>
      <c r="W10" s="34"/>
      <c r="X10" s="16"/>
      <c r="Y10" s="14"/>
    </row>
    <row r="11" spans="1:26" ht="12.5" x14ac:dyDescent="0.35">
      <c r="A11" s="19">
        <v>43647</v>
      </c>
      <c r="B11" s="20">
        <v>64.191818181818192</v>
      </c>
      <c r="C11" s="20">
        <v>63.581545975339964</v>
      </c>
      <c r="D11" s="21" t="s">
        <v>37</v>
      </c>
      <c r="E11" s="21">
        <v>54.757955571267907</v>
      </c>
      <c r="F11" s="21">
        <v>55.321334642318369</v>
      </c>
      <c r="G11" s="22">
        <v>52.807937855266502</v>
      </c>
      <c r="H11" s="20">
        <v>59.298359357615688</v>
      </c>
      <c r="I11" s="21">
        <v>60.949914942509317</v>
      </c>
      <c r="J11" s="21">
        <v>49.877469964299571</v>
      </c>
      <c r="K11" s="21">
        <v>50.495309270154252</v>
      </c>
      <c r="L11" s="22">
        <v>54.952252850965536</v>
      </c>
      <c r="M11" s="21">
        <f t="shared" si="0"/>
        <v>-0.61027220647822844</v>
      </c>
      <c r="N11" s="21" t="str">
        <f t="shared" si="1"/>
        <v/>
      </c>
      <c r="O11" s="21">
        <f t="shared" si="2"/>
        <v>-9.4338626105502854</v>
      </c>
      <c r="P11" s="21">
        <f t="shared" si="3"/>
        <v>-8.8704835394998227</v>
      </c>
      <c r="Q11" s="22">
        <f t="shared" si="4"/>
        <v>-11.38388032655169</v>
      </c>
      <c r="R11" s="20">
        <f t="shared" si="10"/>
        <v>-4.8934588242025043</v>
      </c>
      <c r="S11" s="21">
        <f t="shared" si="11"/>
        <v>-3.2419032393088756</v>
      </c>
      <c r="T11" s="21">
        <f t="shared" si="12"/>
        <v>-14.314348217518621</v>
      </c>
      <c r="U11" s="21">
        <f t="shared" si="13"/>
        <v>-13.69650891166394</v>
      </c>
      <c r="V11" s="22">
        <f t="shared" si="14"/>
        <v>-9.2395653308526562</v>
      </c>
      <c r="W11" s="34"/>
      <c r="X11" s="16"/>
      <c r="Y11" s="14"/>
    </row>
    <row r="12" spans="1:26" ht="12.5" x14ac:dyDescent="0.35">
      <c r="A12" s="23">
        <v>43678</v>
      </c>
      <c r="B12" s="24">
        <v>59.49</v>
      </c>
      <c r="C12" s="24">
        <v>58.692226505429204</v>
      </c>
      <c r="D12" s="25" t="s">
        <v>37</v>
      </c>
      <c r="E12" s="25">
        <v>51.996532618965688</v>
      </c>
      <c r="F12" s="25">
        <v>51.841648573030696</v>
      </c>
      <c r="G12" s="26" t="s">
        <v>37</v>
      </c>
      <c r="H12" s="24">
        <v>54.172987051812804</v>
      </c>
      <c r="I12" s="25">
        <v>55.042774364039502</v>
      </c>
      <c r="J12" s="25">
        <v>41.680279934387968</v>
      </c>
      <c r="K12" s="25">
        <v>47.506117824773419</v>
      </c>
      <c r="L12" s="26">
        <v>51.493429544348658</v>
      </c>
      <c r="M12" s="25">
        <f t="shared" si="0"/>
        <v>-0.79777349457079794</v>
      </c>
      <c r="N12" s="25" t="str">
        <f t="shared" si="1"/>
        <v/>
      </c>
      <c r="O12" s="25">
        <f t="shared" si="2"/>
        <v>-7.4934673810343142</v>
      </c>
      <c r="P12" s="25">
        <f t="shared" si="3"/>
        <v>-7.648351426969306</v>
      </c>
      <c r="Q12" s="26" t="str">
        <f t="shared" si="4"/>
        <v/>
      </c>
      <c r="R12" s="24">
        <f t="shared" si="10"/>
        <v>-5.3170129481871982</v>
      </c>
      <c r="S12" s="25">
        <f t="shared" si="11"/>
        <v>-4.4472256359604998</v>
      </c>
      <c r="T12" s="25">
        <f t="shared" si="12"/>
        <v>-17.809720065612034</v>
      </c>
      <c r="U12" s="25">
        <f t="shared" si="13"/>
        <v>-11.983882175226583</v>
      </c>
      <c r="V12" s="26">
        <f t="shared" si="14"/>
        <v>-7.9965704556513444</v>
      </c>
      <c r="W12" s="34"/>
      <c r="X12" s="16"/>
      <c r="Y12" s="14"/>
    </row>
    <row r="13" spans="1:26" ht="12.5" x14ac:dyDescent="0.35">
      <c r="A13" s="19">
        <v>43709</v>
      </c>
      <c r="B13" s="20">
        <v>62.29</v>
      </c>
      <c r="C13" s="20">
        <v>61.859237739895924</v>
      </c>
      <c r="D13" s="21" t="s">
        <v>37</v>
      </c>
      <c r="E13" s="21">
        <v>53.360844611001092</v>
      </c>
      <c r="F13" s="21">
        <v>53.02912064056023</v>
      </c>
      <c r="G13" s="22" t="s">
        <v>37</v>
      </c>
      <c r="H13" s="20">
        <v>49.78413721647096</v>
      </c>
      <c r="I13" s="21">
        <v>53.630122606182162</v>
      </c>
      <c r="J13" s="21">
        <v>47.985960731505806</v>
      </c>
      <c r="K13" s="21">
        <v>47.676139720146288</v>
      </c>
      <c r="L13" s="22">
        <v>49.723123234527705</v>
      </c>
      <c r="M13" s="21">
        <f t="shared" si="0"/>
        <v>-0.43076226010407481</v>
      </c>
      <c r="N13" s="21" t="str">
        <f t="shared" si="1"/>
        <v/>
      </c>
      <c r="O13" s="21">
        <f t="shared" si="2"/>
        <v>-8.9291553889989075</v>
      </c>
      <c r="P13" s="21">
        <f t="shared" si="3"/>
        <v>-9.2608793594397696</v>
      </c>
      <c r="Q13" s="22" t="str">
        <f t="shared" si="4"/>
        <v/>
      </c>
      <c r="R13" s="20">
        <f t="shared" si="10"/>
        <v>-12.505862783529039</v>
      </c>
      <c r="S13" s="21">
        <f t="shared" si="11"/>
        <v>-8.6598773938178368</v>
      </c>
      <c r="T13" s="21">
        <f t="shared" si="12"/>
        <v>-14.304039268494193</v>
      </c>
      <c r="U13" s="21">
        <f t="shared" si="13"/>
        <v>-14.613860279853711</v>
      </c>
      <c r="V13" s="22">
        <f t="shared" si="14"/>
        <v>-12.566876765472294</v>
      </c>
      <c r="W13" s="14"/>
      <c r="X13" s="14"/>
      <c r="Y13" s="14"/>
    </row>
    <row r="14" spans="1:26" ht="12.5" x14ac:dyDescent="0.35">
      <c r="A14" s="23">
        <v>43739</v>
      </c>
      <c r="B14" s="24">
        <v>59.632173913043466</v>
      </c>
      <c r="C14" s="24">
        <v>60.84557436399313</v>
      </c>
      <c r="D14" s="25" t="s">
        <v>37</v>
      </c>
      <c r="E14" s="25">
        <v>49.696649082930207</v>
      </c>
      <c r="F14" s="25">
        <v>52.077524275486653</v>
      </c>
      <c r="G14" s="26" t="s">
        <v>37</v>
      </c>
      <c r="H14" s="24">
        <v>47.748715509748855</v>
      </c>
      <c r="I14" s="25">
        <v>54.455243865319794</v>
      </c>
      <c r="J14" s="25">
        <v>41.153408063434533</v>
      </c>
      <c r="K14" s="25">
        <v>47.556124264588973</v>
      </c>
      <c r="L14" s="26">
        <v>49.56852670346278</v>
      </c>
      <c r="M14" s="25">
        <f t="shared" si="0"/>
        <v>1.2134004509496634</v>
      </c>
      <c r="N14" s="25" t="str">
        <f t="shared" si="1"/>
        <v/>
      </c>
      <c r="O14" s="25">
        <f t="shared" si="2"/>
        <v>-9.935524830113259</v>
      </c>
      <c r="P14" s="25">
        <f t="shared" si="3"/>
        <v>-7.554649637556814</v>
      </c>
      <c r="Q14" s="26" t="str">
        <f t="shared" si="4"/>
        <v/>
      </c>
      <c r="R14" s="24">
        <f t="shared" si="10"/>
        <v>-11.883458403294611</v>
      </c>
      <c r="S14" s="25">
        <f t="shared" si="11"/>
        <v>-5.1769300477236726</v>
      </c>
      <c r="T14" s="25">
        <f t="shared" si="12"/>
        <v>-18.478765849608934</v>
      </c>
      <c r="U14" s="25">
        <f t="shared" si="13"/>
        <v>-12.076049648454493</v>
      </c>
      <c r="V14" s="26">
        <f t="shared" si="14"/>
        <v>-10.063647209580687</v>
      </c>
      <c r="W14" s="34"/>
      <c r="X14" s="16"/>
      <c r="Y14" s="14"/>
    </row>
    <row r="15" spans="1:26" ht="12.5" x14ac:dyDescent="0.35">
      <c r="A15" s="19">
        <v>43770</v>
      </c>
      <c r="B15" s="20">
        <v>62.65</v>
      </c>
      <c r="C15" s="20">
        <v>62.108533476113415</v>
      </c>
      <c r="D15" s="21" t="s">
        <v>37</v>
      </c>
      <c r="E15" s="21">
        <v>52.970436682805051</v>
      </c>
      <c r="F15" s="21">
        <v>56.878898511105007</v>
      </c>
      <c r="G15" s="22" t="s">
        <v>37</v>
      </c>
      <c r="H15" s="20">
        <v>54.121427709348147</v>
      </c>
      <c r="I15" s="21">
        <v>53.58330865924561</v>
      </c>
      <c r="J15" s="21">
        <v>51.844947262640275</v>
      </c>
      <c r="K15" s="21">
        <v>50.381488114167603</v>
      </c>
      <c r="L15" s="22">
        <v>49.61312901330767</v>
      </c>
      <c r="M15" s="21">
        <f t="shared" si="0"/>
        <v>-0.54146652388658367</v>
      </c>
      <c r="N15" s="21" t="str">
        <f t="shared" si="1"/>
        <v/>
      </c>
      <c r="O15" s="21">
        <f t="shared" si="2"/>
        <v>-9.6795633171949476</v>
      </c>
      <c r="P15" s="21">
        <f t="shared" si="3"/>
        <v>-5.7711014888949919</v>
      </c>
      <c r="Q15" s="22" t="str">
        <f t="shared" si="4"/>
        <v/>
      </c>
      <c r="R15" s="20">
        <f t="shared" si="10"/>
        <v>-8.5285722906518515</v>
      </c>
      <c r="S15" s="21">
        <f t="shared" si="11"/>
        <v>-9.0666913407543888</v>
      </c>
      <c r="T15" s="21">
        <f t="shared" si="12"/>
        <v>-10.805052737359723</v>
      </c>
      <c r="U15" s="21">
        <f t="shared" si="13"/>
        <v>-12.268511885832396</v>
      </c>
      <c r="V15" s="22">
        <f t="shared" si="14"/>
        <v>-13.036870986692328</v>
      </c>
      <c r="W15" s="14"/>
      <c r="X15" s="14"/>
      <c r="Y15" s="14"/>
    </row>
    <row r="16" spans="1:26" ht="12.5" x14ac:dyDescent="0.35">
      <c r="A16" s="23">
        <v>43800</v>
      </c>
      <c r="B16" s="24">
        <v>65.17</v>
      </c>
      <c r="C16" s="24">
        <v>66.567506232011965</v>
      </c>
      <c r="D16" s="25" t="s">
        <v>37</v>
      </c>
      <c r="E16" s="25">
        <v>55.19783248466711</v>
      </c>
      <c r="F16" s="25">
        <v>55.080326985567858</v>
      </c>
      <c r="G16" s="26" t="s">
        <v>37</v>
      </c>
      <c r="H16" s="24">
        <v>58.016292207679363</v>
      </c>
      <c r="I16" s="25">
        <v>57.103802826788154</v>
      </c>
      <c r="J16" s="25">
        <v>49.649762759201835</v>
      </c>
      <c r="K16" s="25">
        <v>52.896962951184605</v>
      </c>
      <c r="L16" s="26">
        <v>52.020208049337953</v>
      </c>
      <c r="M16" s="25">
        <f t="shared" si="0"/>
        <v>1.3975062320119633</v>
      </c>
      <c r="N16" s="25" t="str">
        <f t="shared" si="1"/>
        <v/>
      </c>
      <c r="O16" s="25">
        <f t="shared" si="2"/>
        <v>-9.9721675153328917</v>
      </c>
      <c r="P16" s="25">
        <f t="shared" si="3"/>
        <v>-10.089673014432144</v>
      </c>
      <c r="Q16" s="26" t="str">
        <f t="shared" si="4"/>
        <v/>
      </c>
      <c r="R16" s="24">
        <f t="shared" si="10"/>
        <v>-7.1537077923206382</v>
      </c>
      <c r="S16" s="25">
        <f t="shared" si="11"/>
        <v>-8.0661971732118474</v>
      </c>
      <c r="T16" s="25">
        <f t="shared" si="12"/>
        <v>-15.520237240798167</v>
      </c>
      <c r="U16" s="25">
        <f t="shared" si="13"/>
        <v>-12.273037048815397</v>
      </c>
      <c r="V16" s="26">
        <f t="shared" si="14"/>
        <v>-13.149791950662049</v>
      </c>
      <c r="W16" s="34"/>
      <c r="X16" s="16"/>
      <c r="Y16" s="14"/>
    </row>
    <row r="17" spans="1:25" ht="12.5" x14ac:dyDescent="0.35">
      <c r="A17" s="19">
        <v>43831</v>
      </c>
      <c r="B17" s="20">
        <v>63.672727272727279</v>
      </c>
      <c r="C17" s="20">
        <v>66.317332033705696</v>
      </c>
      <c r="D17" s="21" t="s">
        <v>37</v>
      </c>
      <c r="E17" s="21" t="s">
        <v>37</v>
      </c>
      <c r="F17" s="21">
        <v>49.827500436473919</v>
      </c>
      <c r="G17" s="22" t="s">
        <v>37</v>
      </c>
      <c r="H17" s="20">
        <v>58.424810031007866</v>
      </c>
      <c r="I17" s="21">
        <v>59.152644740036365</v>
      </c>
      <c r="J17" s="21">
        <v>50.976625854666885</v>
      </c>
      <c r="K17" s="21">
        <v>48.346167565242986</v>
      </c>
      <c r="L17" s="22">
        <v>53.51264388065993</v>
      </c>
      <c r="M17" s="21">
        <f t="shared" si="0"/>
        <v>2.6446047609784173</v>
      </c>
      <c r="N17" s="21" t="str">
        <f>IF(D17="","",D17-$B17)</f>
        <v/>
      </c>
      <c r="O17" s="21" t="str">
        <f t="shared" si="2"/>
        <v/>
      </c>
      <c r="P17" s="21">
        <f t="shared" si="3"/>
        <v>-13.84522683625336</v>
      </c>
      <c r="Q17" s="22" t="str">
        <f t="shared" si="4"/>
        <v/>
      </c>
      <c r="R17" s="20">
        <f t="shared" si="10"/>
        <v>-5.2479172417194135</v>
      </c>
      <c r="S17" s="21">
        <f t="shared" si="11"/>
        <v>-4.520082532690914</v>
      </c>
      <c r="T17" s="21">
        <f t="shared" si="12"/>
        <v>-12.696101418060394</v>
      </c>
      <c r="U17" s="21">
        <f t="shared" si="13"/>
        <v>-15.326559707484293</v>
      </c>
      <c r="V17" s="22">
        <f t="shared" si="14"/>
        <v>-10.160083392067349</v>
      </c>
      <c r="W17" s="14"/>
      <c r="X17" s="14"/>
      <c r="Y17" s="14"/>
    </row>
    <row r="18" spans="1:25" ht="12.5" x14ac:dyDescent="0.35">
      <c r="A18" s="23">
        <v>43862</v>
      </c>
      <c r="B18" s="24">
        <v>55.477499999999999</v>
      </c>
      <c r="C18" s="24">
        <v>56.247556004442671</v>
      </c>
      <c r="D18" s="25" t="s">
        <v>37</v>
      </c>
      <c r="E18" s="25">
        <v>45.964647589610685</v>
      </c>
      <c r="F18" s="25">
        <v>38.151545106828792</v>
      </c>
      <c r="G18" s="26" t="s">
        <v>37</v>
      </c>
      <c r="H18" s="24">
        <v>52.71392479982412</v>
      </c>
      <c r="I18" s="25">
        <v>55.550124618737648</v>
      </c>
      <c r="J18" s="25">
        <v>44.943234218476711</v>
      </c>
      <c r="K18" s="25"/>
      <c r="L18" s="26">
        <v>50.555118701652773</v>
      </c>
      <c r="M18" s="25">
        <f t="shared" si="0"/>
        <v>0.7700560044426723</v>
      </c>
      <c r="N18" s="25" t="str">
        <f t="shared" ref="N18:N34" si="15">IF(D18="","",D18-$B18)</f>
        <v/>
      </c>
      <c r="O18" s="25">
        <f t="shared" si="2"/>
        <v>-9.5128524103893142</v>
      </c>
      <c r="P18" s="25">
        <f t="shared" si="3"/>
        <v>-17.325954893171208</v>
      </c>
      <c r="Q18" s="26" t="str">
        <f t="shared" si="4"/>
        <v/>
      </c>
      <c r="R18" s="24">
        <f t="shared" si="10"/>
        <v>-2.7635752001758789</v>
      </c>
      <c r="S18" s="25">
        <f t="shared" si="11"/>
        <v>7.2624618737648916E-2</v>
      </c>
      <c r="T18" s="25">
        <f t="shared" si="12"/>
        <v>-10.534265781523288</v>
      </c>
      <c r="U18" s="25" t="str">
        <f t="shared" si="13"/>
        <v/>
      </c>
      <c r="V18" s="26">
        <f t="shared" si="14"/>
        <v>-4.9223812983472257</v>
      </c>
      <c r="W18" s="34"/>
      <c r="X18" s="16"/>
      <c r="Y18" s="14"/>
    </row>
    <row r="19" spans="1:25" ht="12.5" x14ac:dyDescent="0.35">
      <c r="A19" s="19">
        <v>43891</v>
      </c>
      <c r="B19" s="20">
        <v>32.979999999999997</v>
      </c>
      <c r="C19" s="20">
        <v>33.578569338126535</v>
      </c>
      <c r="D19" s="21" t="s">
        <v>37</v>
      </c>
      <c r="E19" s="21">
        <v>21.508142597489229</v>
      </c>
      <c r="F19" s="21">
        <v>26.233332927624915</v>
      </c>
      <c r="G19" s="22" t="s">
        <v>37</v>
      </c>
      <c r="H19" s="20">
        <v>48.107992733128818</v>
      </c>
      <c r="I19" s="21">
        <v>48.464968460863929</v>
      </c>
      <c r="J19" s="21">
        <v>24.80044522181587</v>
      </c>
      <c r="K19" s="21"/>
      <c r="L19" s="22">
        <v>41.650358282457219</v>
      </c>
      <c r="M19" s="21">
        <f t="shared" si="0"/>
        <v>0.59856933812653779</v>
      </c>
      <c r="N19" s="21" t="str">
        <f t="shared" si="15"/>
        <v/>
      </c>
      <c r="O19" s="21">
        <f t="shared" si="2"/>
        <v>-11.471857402510768</v>
      </c>
      <c r="P19" s="21">
        <f t="shared" si="3"/>
        <v>-6.7466670723750823</v>
      </c>
      <c r="Q19" s="22" t="str">
        <f t="shared" si="4"/>
        <v/>
      </c>
      <c r="R19" s="20">
        <f t="shared" si="10"/>
        <v>15.127992733128821</v>
      </c>
      <c r="S19" s="21">
        <f t="shared" si="11"/>
        <v>15.484968460863932</v>
      </c>
      <c r="T19" s="21">
        <f t="shared" si="12"/>
        <v>-8.1795547781841265</v>
      </c>
      <c r="U19" s="21" t="str">
        <f t="shared" si="13"/>
        <v/>
      </c>
      <c r="V19" s="22">
        <f t="shared" si="14"/>
        <v>8.6703582824572223</v>
      </c>
      <c r="W19" s="14"/>
      <c r="X19" s="14"/>
      <c r="Y19" s="14"/>
    </row>
    <row r="20" spans="1:25" ht="12.5" x14ac:dyDescent="0.35">
      <c r="A20" s="23">
        <v>43922</v>
      </c>
      <c r="B20" s="24">
        <v>26.63</v>
      </c>
      <c r="C20" s="24">
        <v>23.705880066293883</v>
      </c>
      <c r="D20" s="25">
        <v>10.14385827657696</v>
      </c>
      <c r="E20" s="25">
        <v>15.632012959657006</v>
      </c>
      <c r="F20" s="25" t="s">
        <v>37</v>
      </c>
      <c r="G20" s="26" t="s">
        <v>37</v>
      </c>
      <c r="H20" s="24">
        <v>24.975348164040692</v>
      </c>
      <c r="I20" s="25">
        <v>19.747869590124033</v>
      </c>
      <c r="J20" s="25"/>
      <c r="K20" s="25"/>
      <c r="L20" s="26">
        <v>23.310703600929333</v>
      </c>
      <c r="M20" s="25">
        <f t="shared" si="0"/>
        <v>-2.9241199337061161</v>
      </c>
      <c r="N20" s="25">
        <f t="shared" si="15"/>
        <v>-16.486141723423039</v>
      </c>
      <c r="O20" s="25">
        <f t="shared" si="2"/>
        <v>-10.997987040342993</v>
      </c>
      <c r="P20" s="25" t="str">
        <f t="shared" si="3"/>
        <v/>
      </c>
      <c r="Q20" s="26" t="str">
        <f t="shared" si="4"/>
        <v/>
      </c>
      <c r="R20" s="24">
        <f t="shared" si="10"/>
        <v>-1.6546518359593065</v>
      </c>
      <c r="S20" s="25">
        <f t="shared" si="11"/>
        <v>-6.8821304098759661</v>
      </c>
      <c r="T20" s="25" t="str">
        <f t="shared" si="12"/>
        <v/>
      </c>
      <c r="U20" s="25" t="str">
        <f t="shared" si="13"/>
        <v/>
      </c>
      <c r="V20" s="26">
        <f t="shared" si="14"/>
        <v>-3.3192963990706659</v>
      </c>
      <c r="W20" s="34"/>
      <c r="X20" s="16"/>
      <c r="Y20" s="14"/>
    </row>
    <row r="21" spans="1:25" ht="12.5" x14ac:dyDescent="0.35">
      <c r="A21" s="19">
        <v>43952</v>
      </c>
      <c r="B21" s="20">
        <v>32.26</v>
      </c>
      <c r="C21" s="20">
        <v>20.902591684001322</v>
      </c>
      <c r="D21" s="21">
        <v>24.004497272435454</v>
      </c>
      <c r="E21" s="21" t="s">
        <v>37</v>
      </c>
      <c r="F21" s="21" t="s">
        <v>37</v>
      </c>
      <c r="G21" s="22">
        <v>24.094136097543899</v>
      </c>
      <c r="H21" s="20">
        <v>26.167294948187287</v>
      </c>
      <c r="I21" s="21">
        <v>32.791855710712227</v>
      </c>
      <c r="J21" s="21"/>
      <c r="K21" s="21"/>
      <c r="L21" s="22">
        <v>29.007613335771048</v>
      </c>
      <c r="M21" s="21">
        <f t="shared" si="0"/>
        <v>-11.357408315998676</v>
      </c>
      <c r="N21" s="21">
        <f t="shared" si="15"/>
        <v>-8.2555027275645436</v>
      </c>
      <c r="O21" s="21" t="str">
        <f t="shared" si="2"/>
        <v/>
      </c>
      <c r="P21" s="21" t="str">
        <f t="shared" si="3"/>
        <v/>
      </c>
      <c r="Q21" s="22">
        <f t="shared" si="4"/>
        <v>-8.1658639024560991</v>
      </c>
      <c r="R21" s="20">
        <f t="shared" si="10"/>
        <v>-6.092705051812711</v>
      </c>
      <c r="S21" s="21">
        <f t="shared" si="11"/>
        <v>0.53185571071222881</v>
      </c>
      <c r="T21" s="21" t="str">
        <f t="shared" si="12"/>
        <v/>
      </c>
      <c r="U21" s="21" t="str">
        <f t="shared" si="13"/>
        <v/>
      </c>
      <c r="V21" s="22">
        <f t="shared" si="14"/>
        <v>-3.2523866642289505</v>
      </c>
      <c r="W21" s="14"/>
      <c r="X21" s="14"/>
      <c r="Y21" s="14"/>
    </row>
    <row r="22" spans="1:25" ht="12.5" x14ac:dyDescent="0.35">
      <c r="A22" s="23">
        <v>43983</v>
      </c>
      <c r="B22" s="24">
        <v>40.770000000000003</v>
      </c>
      <c r="C22" s="24">
        <v>30.031511457832163</v>
      </c>
      <c r="D22" s="25">
        <v>36.792153879865104</v>
      </c>
      <c r="E22" s="25">
        <v>16.002062718052095</v>
      </c>
      <c r="F22" s="25" t="s">
        <v>37</v>
      </c>
      <c r="G22" s="26">
        <v>27.59845524011974</v>
      </c>
      <c r="H22" s="24">
        <v>39.760947889996302</v>
      </c>
      <c r="I22" s="25">
        <v>40.377481665320701</v>
      </c>
      <c r="J22" s="25"/>
      <c r="K22" s="25">
        <v>18.756400063603117</v>
      </c>
      <c r="L22" s="26">
        <v>42.333661080620359</v>
      </c>
      <c r="M22" s="25">
        <f t="shared" si="0"/>
        <v>-10.73848854216784</v>
      </c>
      <c r="N22" s="25">
        <f t="shared" si="15"/>
        <v>-3.9778461201348989</v>
      </c>
      <c r="O22" s="25">
        <f t="shared" si="2"/>
        <v>-24.767937281947908</v>
      </c>
      <c r="P22" s="25" t="str">
        <f t="shared" si="3"/>
        <v/>
      </c>
      <c r="Q22" s="26">
        <f t="shared" si="4"/>
        <v>-13.171544759880263</v>
      </c>
      <c r="R22" s="24">
        <f t="shared" si="10"/>
        <v>-1.0090521100037009</v>
      </c>
      <c r="S22" s="25">
        <f t="shared" si="11"/>
        <v>-0.39251833467930197</v>
      </c>
      <c r="T22" s="25" t="str">
        <f t="shared" si="12"/>
        <v/>
      </c>
      <c r="U22" s="25">
        <f t="shared" si="13"/>
        <v>-22.013599936396886</v>
      </c>
      <c r="V22" s="26">
        <f t="shared" si="14"/>
        <v>1.5636610806203564</v>
      </c>
      <c r="W22" s="34"/>
      <c r="X22" s="16"/>
      <c r="Y22" s="14"/>
    </row>
    <row r="23" spans="1:25" ht="12.5" x14ac:dyDescent="0.35">
      <c r="A23" s="19">
        <v>44013</v>
      </c>
      <c r="B23" s="20">
        <v>43.22</v>
      </c>
      <c r="C23" s="20">
        <v>28.815117967135436</v>
      </c>
      <c r="D23" s="21" t="s">
        <v>37</v>
      </c>
      <c r="E23" s="21">
        <v>30.660952823027554</v>
      </c>
      <c r="F23" s="21">
        <v>31.668038979624292</v>
      </c>
      <c r="G23" s="22">
        <v>37.090666744616435</v>
      </c>
      <c r="H23" s="20">
        <v>41.086503594611962</v>
      </c>
      <c r="I23" s="21">
        <v>40.630057438956939</v>
      </c>
      <c r="J23" s="21">
        <v>16</v>
      </c>
      <c r="K23" s="21"/>
      <c r="L23" s="22">
        <v>43.049365582442427</v>
      </c>
      <c r="M23" s="21">
        <f t="shared" si="0"/>
        <v>-14.404882032864563</v>
      </c>
      <c r="N23" s="21" t="str">
        <f t="shared" si="15"/>
        <v/>
      </c>
      <c r="O23" s="21">
        <f t="shared" si="2"/>
        <v>-12.559047176972445</v>
      </c>
      <c r="P23" s="21">
        <f t="shared" si="3"/>
        <v>-11.551961020375707</v>
      </c>
      <c r="Q23" s="22">
        <f t="shared" si="4"/>
        <v>-6.129333255383564</v>
      </c>
      <c r="R23" s="20">
        <f t="shared" si="10"/>
        <v>-2.133496405388037</v>
      </c>
      <c r="S23" s="21">
        <f t="shared" si="11"/>
        <v>-2.5899425610430598</v>
      </c>
      <c r="T23" s="21">
        <f t="shared" si="12"/>
        <v>-27.22</v>
      </c>
      <c r="U23" s="21" t="str">
        <f t="shared" si="13"/>
        <v/>
      </c>
      <c r="V23" s="22">
        <f t="shared" si="14"/>
        <v>-0.17063441755757225</v>
      </c>
      <c r="W23" s="14"/>
      <c r="X23" s="14"/>
      <c r="Y23" s="14"/>
    </row>
    <row r="24" spans="1:25" ht="12.5" x14ac:dyDescent="0.35">
      <c r="A24" s="23">
        <v>44044</v>
      </c>
      <c r="B24" s="24">
        <v>45.02</v>
      </c>
      <c r="C24" s="24" t="s">
        <v>37</v>
      </c>
      <c r="D24" s="25" t="s">
        <v>37</v>
      </c>
      <c r="E24" s="25">
        <v>28.13206260476424</v>
      </c>
      <c r="F24" s="25">
        <v>28.254517240304335</v>
      </c>
      <c r="G24" s="26">
        <v>41.042545020960247</v>
      </c>
      <c r="H24" s="24">
        <v>41.245563378374591</v>
      </c>
      <c r="I24" s="25">
        <v>41.577800870491664</v>
      </c>
      <c r="J24" s="25">
        <v>19</v>
      </c>
      <c r="K24" s="25"/>
      <c r="L24" s="26">
        <v>43.521439102103002</v>
      </c>
      <c r="M24" s="25" t="str">
        <f t="shared" si="0"/>
        <v/>
      </c>
      <c r="N24" s="25" t="str">
        <f t="shared" si="15"/>
        <v/>
      </c>
      <c r="O24" s="25">
        <f t="shared" si="2"/>
        <v>-16.887937395235763</v>
      </c>
      <c r="P24" s="25">
        <f t="shared" si="3"/>
        <v>-16.765482759695669</v>
      </c>
      <c r="Q24" s="26">
        <f t="shared" si="4"/>
        <v>-3.9774549790397558</v>
      </c>
      <c r="R24" s="24">
        <f t="shared" si="10"/>
        <v>-3.7744366216254122</v>
      </c>
      <c r="S24" s="25">
        <f t="shared" si="11"/>
        <v>-3.4421991295083387</v>
      </c>
      <c r="T24" s="25">
        <f t="shared" si="12"/>
        <v>-26.020000000000003</v>
      </c>
      <c r="U24" s="25" t="str">
        <f t="shared" si="13"/>
        <v/>
      </c>
      <c r="V24" s="26">
        <f t="shared" si="14"/>
        <v>-1.4985608978970006</v>
      </c>
      <c r="W24" s="34"/>
      <c r="X24" s="16"/>
      <c r="Y24" s="14"/>
    </row>
    <row r="25" spans="1:25" ht="12.5" x14ac:dyDescent="0.35">
      <c r="A25" s="19">
        <v>44075</v>
      </c>
      <c r="B25" s="20">
        <v>41.87</v>
      </c>
      <c r="C25" s="20">
        <v>40.607373836193034</v>
      </c>
      <c r="D25" s="21" t="s">
        <v>37</v>
      </c>
      <c r="E25" s="21">
        <v>34.754477049609861</v>
      </c>
      <c r="F25" s="21">
        <v>28.98106353497036</v>
      </c>
      <c r="G25" s="22">
        <v>40.940543642593084</v>
      </c>
      <c r="H25" s="20">
        <v>42.983675253650148</v>
      </c>
      <c r="I25" s="21">
        <v>44.125084386493519</v>
      </c>
      <c r="J25" s="21">
        <v>19.000000000000004</v>
      </c>
      <c r="K25" s="21"/>
      <c r="L25" s="22">
        <v>39.86394437551116</v>
      </c>
      <c r="M25" s="21">
        <f t="shared" si="0"/>
        <v>-1.2626261638069636</v>
      </c>
      <c r="N25" s="21" t="str">
        <f t="shared" si="15"/>
        <v/>
      </c>
      <c r="O25" s="21">
        <f t="shared" si="2"/>
        <v>-7.1155229503901367</v>
      </c>
      <c r="P25" s="21">
        <f t="shared" si="3"/>
        <v>-12.888936465029637</v>
      </c>
      <c r="Q25" s="22">
        <f t="shared" si="4"/>
        <v>-0.92945635740691301</v>
      </c>
      <c r="R25" s="20">
        <f t="shared" si="10"/>
        <v>1.1136752536501504</v>
      </c>
      <c r="S25" s="21">
        <f t="shared" si="11"/>
        <v>2.2550843864935217</v>
      </c>
      <c r="T25" s="21">
        <f t="shared" si="12"/>
        <v>-22.869999999999994</v>
      </c>
      <c r="U25" s="21" t="str">
        <f t="shared" si="13"/>
        <v/>
      </c>
      <c r="V25" s="22">
        <f t="shared" si="14"/>
        <v>-2.0060556244888375</v>
      </c>
      <c r="W25" s="14"/>
      <c r="X25" s="14"/>
      <c r="Y25" s="14"/>
    </row>
    <row r="26" spans="1:25" ht="12.5" x14ac:dyDescent="0.35">
      <c r="A26" s="23">
        <v>44105</v>
      </c>
      <c r="B26" s="24">
        <v>41.42</v>
      </c>
      <c r="C26" s="24">
        <v>39.153470878000618</v>
      </c>
      <c r="D26" s="25" t="s">
        <v>37</v>
      </c>
      <c r="E26" s="25">
        <v>34.552454276991519</v>
      </c>
      <c r="F26" s="25">
        <v>28.547696019626624</v>
      </c>
      <c r="G26" s="26" t="s">
        <v>37</v>
      </c>
      <c r="H26" s="24">
        <v>42.021584591985054</v>
      </c>
      <c r="I26" s="25">
        <v>42.908718417877736</v>
      </c>
      <c r="J26" s="25">
        <v>23</v>
      </c>
      <c r="K26" s="25"/>
      <c r="L26" s="26">
        <v>38.683116320171408</v>
      </c>
      <c r="M26" s="25">
        <f t="shared" si="0"/>
        <v>-2.2665291219993833</v>
      </c>
      <c r="N26" s="25" t="str">
        <f t="shared" si="15"/>
        <v/>
      </c>
      <c r="O26" s="25">
        <f t="shared" si="2"/>
        <v>-6.8675457230084831</v>
      </c>
      <c r="P26" s="25">
        <f t="shared" si="3"/>
        <v>-12.872303980373378</v>
      </c>
      <c r="Q26" s="26" t="str">
        <f t="shared" si="4"/>
        <v/>
      </c>
      <c r="R26" s="24">
        <f t="shared" si="10"/>
        <v>0.60158459198505199</v>
      </c>
      <c r="S26" s="25">
        <f t="shared" si="11"/>
        <v>1.4887184178777346</v>
      </c>
      <c r="T26" s="25">
        <f t="shared" si="12"/>
        <v>-18.420000000000002</v>
      </c>
      <c r="U26" s="25" t="str">
        <f t="shared" si="13"/>
        <v/>
      </c>
      <c r="V26" s="26">
        <f t="shared" si="14"/>
        <v>-2.736883679828594</v>
      </c>
      <c r="W26" s="34"/>
      <c r="X26" s="16"/>
      <c r="Y26" s="14"/>
    </row>
    <row r="27" spans="1:25" ht="12.5" x14ac:dyDescent="0.35">
      <c r="A27" s="19">
        <v>44136</v>
      </c>
      <c r="B27" s="20">
        <v>43.6</v>
      </c>
      <c r="C27" s="20">
        <v>43.685371877708953</v>
      </c>
      <c r="D27" s="21" t="s">
        <v>37</v>
      </c>
      <c r="E27" s="21">
        <v>38.218916105677884</v>
      </c>
      <c r="F27" s="21">
        <v>31.817933568498997</v>
      </c>
      <c r="G27" s="22">
        <v>39.846128416282369</v>
      </c>
      <c r="H27" s="20">
        <v>43.41412349483948</v>
      </c>
      <c r="I27" s="21">
        <v>42.774388425737378</v>
      </c>
      <c r="J27" s="21">
        <v>26.396758659857337</v>
      </c>
      <c r="K27" s="21"/>
      <c r="L27" s="22">
        <v>38.811680852590825</v>
      </c>
      <c r="M27" s="21">
        <f t="shared" si="0"/>
        <v>8.537187770895116E-2</v>
      </c>
      <c r="N27" s="21" t="str">
        <f t="shared" si="15"/>
        <v/>
      </c>
      <c r="O27" s="21">
        <f t="shared" si="2"/>
        <v>-5.3810838943221171</v>
      </c>
      <c r="P27" s="21">
        <f t="shared" si="3"/>
        <v>-11.782066431501004</v>
      </c>
      <c r="Q27" s="22">
        <f t="shared" si="4"/>
        <v>-3.7538715837176326</v>
      </c>
      <c r="R27" s="20">
        <f t="shared" si="10"/>
        <v>-0.18587650516052179</v>
      </c>
      <c r="S27" s="21">
        <f t="shared" si="11"/>
        <v>-0.82561157426262355</v>
      </c>
      <c r="T27" s="21">
        <f t="shared" si="12"/>
        <v>-17.203241340142664</v>
      </c>
      <c r="U27" s="21" t="str">
        <f t="shared" si="13"/>
        <v/>
      </c>
      <c r="V27" s="22">
        <f t="shared" si="14"/>
        <v>-4.788319147409176</v>
      </c>
      <c r="W27" s="14"/>
      <c r="X27" s="14"/>
      <c r="Y27" s="14"/>
    </row>
    <row r="28" spans="1:25" ht="12.5" x14ac:dyDescent="0.35">
      <c r="A28" s="23">
        <v>44166</v>
      </c>
      <c r="B28" s="24">
        <v>50.22</v>
      </c>
      <c r="C28" s="24">
        <v>49.745985773679649</v>
      </c>
      <c r="D28" s="25" t="s">
        <v>37</v>
      </c>
      <c r="E28" s="25">
        <v>43.909659711817206</v>
      </c>
      <c r="F28" s="25">
        <v>42.891052828117893</v>
      </c>
      <c r="G28" s="26" t="s">
        <v>37</v>
      </c>
      <c r="H28" s="24">
        <v>49.302959493071072</v>
      </c>
      <c r="I28" s="25">
        <v>48.538836010099018</v>
      </c>
      <c r="J28" s="25">
        <v>30.675447408265278</v>
      </c>
      <c r="K28" s="25"/>
      <c r="L28" s="26">
        <v>43.425179128328701</v>
      </c>
      <c r="M28" s="25">
        <f t="shared" si="0"/>
        <v>-0.47401422632034951</v>
      </c>
      <c r="N28" s="25" t="str">
        <f t="shared" si="15"/>
        <v/>
      </c>
      <c r="O28" s="25">
        <f t="shared" si="2"/>
        <v>-6.3103402881827932</v>
      </c>
      <c r="P28" s="25">
        <f t="shared" si="3"/>
        <v>-7.3289471718821062</v>
      </c>
      <c r="Q28" s="26" t="str">
        <f t="shared" si="4"/>
        <v/>
      </c>
      <c r="R28" s="24">
        <f t="shared" si="10"/>
        <v>-0.91704050692892736</v>
      </c>
      <c r="S28" s="25">
        <f t="shared" si="11"/>
        <v>-1.6811639899009805</v>
      </c>
      <c r="T28" s="25">
        <f t="shared" si="12"/>
        <v>-19.544552591734721</v>
      </c>
      <c r="U28" s="25" t="str">
        <f>IF(K28="","",K28-$B28)</f>
        <v/>
      </c>
      <c r="V28" s="26">
        <f t="shared" si="14"/>
        <v>-6.7948208716712983</v>
      </c>
      <c r="W28" s="34"/>
      <c r="X28" s="16"/>
      <c r="Y28" s="14"/>
    </row>
    <row r="29" spans="1:25" ht="12.5" x14ac:dyDescent="0.35">
      <c r="A29" s="19">
        <v>44197</v>
      </c>
      <c r="B29" s="20">
        <v>55.32</v>
      </c>
      <c r="C29" s="20">
        <v>56.849506443917925</v>
      </c>
      <c r="D29" s="21" t="s">
        <v>37</v>
      </c>
      <c r="E29" s="21">
        <v>49.954451480163918</v>
      </c>
      <c r="F29" s="21">
        <v>41.047453334498591</v>
      </c>
      <c r="G29" s="22">
        <v>47.118850653589483</v>
      </c>
      <c r="H29" s="20">
        <v>53.703465898459264</v>
      </c>
      <c r="I29" s="21">
        <v>53.264149373568955</v>
      </c>
      <c r="J29" s="21">
        <v>30.050000000000004</v>
      </c>
      <c r="K29" s="21"/>
      <c r="L29" s="22">
        <v>47.966230318015548</v>
      </c>
      <c r="M29" s="21">
        <f t="shared" si="0"/>
        <v>1.5295064439179242</v>
      </c>
      <c r="N29" s="21" t="str">
        <f t="shared" si="15"/>
        <v/>
      </c>
      <c r="O29" s="21">
        <f t="shared" si="2"/>
        <v>-5.3655485198360822</v>
      </c>
      <c r="P29" s="21">
        <f t="shared" si="3"/>
        <v>-14.272546665501409</v>
      </c>
      <c r="Q29" s="22">
        <f t="shared" si="4"/>
        <v>-8.2011493464105172</v>
      </c>
      <c r="R29" s="20">
        <f t="shared" si="10"/>
        <v>-1.6165341015407364</v>
      </c>
      <c r="S29" s="21">
        <f t="shared" si="11"/>
        <v>-2.0558506264310452</v>
      </c>
      <c r="T29" s="21">
        <f t="shared" si="12"/>
        <v>-25.269999999999996</v>
      </c>
      <c r="U29" s="21" t="str">
        <f t="shared" si="13"/>
        <v/>
      </c>
      <c r="V29" s="22">
        <f t="shared" si="14"/>
        <v>-7.3537696819844527</v>
      </c>
      <c r="W29" s="14"/>
      <c r="X29" s="14"/>
      <c r="Y29" s="14"/>
    </row>
    <row r="30" spans="1:25" ht="12.5" x14ac:dyDescent="0.35">
      <c r="A30" s="23">
        <v>44228</v>
      </c>
      <c r="B30" s="24">
        <v>62.28</v>
      </c>
      <c r="C30" s="24">
        <v>64.886513226256554</v>
      </c>
      <c r="D30" s="25" t="s">
        <v>37</v>
      </c>
      <c r="E30" s="25">
        <v>59.619677885355706</v>
      </c>
      <c r="F30" s="25" t="s">
        <v>37</v>
      </c>
      <c r="G30" s="26" t="s">
        <v>37</v>
      </c>
      <c r="H30" s="24">
        <v>58.208318489183632</v>
      </c>
      <c r="I30" s="25">
        <v>57.225476240563857</v>
      </c>
      <c r="J30" s="25">
        <v>39.04901835074115</v>
      </c>
      <c r="K30" s="25"/>
      <c r="L30" s="26">
        <v>50.644466838719538</v>
      </c>
      <c r="M30" s="25">
        <f t="shared" si="0"/>
        <v>2.6065132262565527</v>
      </c>
      <c r="N30" s="25" t="str">
        <f t="shared" si="15"/>
        <v/>
      </c>
      <c r="O30" s="25">
        <f t="shared" si="2"/>
        <v>-2.6603221146442948</v>
      </c>
      <c r="P30" s="25" t="str">
        <f t="shared" si="3"/>
        <v/>
      </c>
      <c r="Q30" s="26" t="str">
        <f t="shared" si="4"/>
        <v/>
      </c>
      <c r="R30" s="24">
        <f t="shared" si="10"/>
        <v>-4.0716815108163686</v>
      </c>
      <c r="S30" s="25">
        <f t="shared" si="11"/>
        <v>-5.0545237594361438</v>
      </c>
      <c r="T30" s="25">
        <f t="shared" si="12"/>
        <v>-23.230981649258851</v>
      </c>
      <c r="U30" s="25" t="str">
        <f t="shared" si="13"/>
        <v/>
      </c>
      <c r="V30" s="26">
        <f t="shared" si="14"/>
        <v>-11.635533161280463</v>
      </c>
      <c r="W30" s="34"/>
      <c r="X30" s="16"/>
      <c r="Y30" s="14"/>
    </row>
    <row r="31" spans="1:25" ht="12.5" x14ac:dyDescent="0.35">
      <c r="A31" s="19">
        <v>44256</v>
      </c>
      <c r="B31" s="20">
        <v>65.7</v>
      </c>
      <c r="C31" s="20">
        <v>62.606314978778052</v>
      </c>
      <c r="D31" s="21" t="s">
        <v>37</v>
      </c>
      <c r="E31" s="21" t="s">
        <v>37</v>
      </c>
      <c r="F31" s="21">
        <v>57.533353754765265</v>
      </c>
      <c r="G31" s="22">
        <v>59.468054531099</v>
      </c>
      <c r="H31" s="20">
        <v>56.41306152296481</v>
      </c>
      <c r="I31" s="21">
        <v>57.884440251670995</v>
      </c>
      <c r="J31" s="21">
        <v>37.5</v>
      </c>
      <c r="K31" s="21"/>
      <c r="L31" s="22">
        <v>49.869383750126126</v>
      </c>
      <c r="M31" s="21">
        <f t="shared" si="0"/>
        <v>-3.0936850212219511</v>
      </c>
      <c r="N31" s="21" t="str">
        <f t="shared" si="15"/>
        <v/>
      </c>
      <c r="O31" s="21" t="str">
        <f t="shared" si="2"/>
        <v/>
      </c>
      <c r="P31" s="21">
        <f t="shared" si="3"/>
        <v>-8.1666462452347375</v>
      </c>
      <c r="Q31" s="22">
        <f t="shared" si="4"/>
        <v>-6.231945468901003</v>
      </c>
      <c r="R31" s="20">
        <f t="shared" si="10"/>
        <v>-9.2869384770351928</v>
      </c>
      <c r="S31" s="21">
        <f t="shared" si="11"/>
        <v>-7.815559748329008</v>
      </c>
      <c r="T31" s="21">
        <f t="shared" si="12"/>
        <v>-28.200000000000003</v>
      </c>
      <c r="U31" s="21" t="str">
        <f t="shared" si="13"/>
        <v/>
      </c>
      <c r="V31" s="22">
        <f t="shared" si="14"/>
        <v>-15.830616249873877</v>
      </c>
      <c r="W31" s="14"/>
      <c r="X31" s="14"/>
      <c r="Y31" s="14"/>
    </row>
    <row r="32" spans="1:25" ht="12.5" x14ac:dyDescent="0.35">
      <c r="A32" s="23">
        <v>44287</v>
      </c>
      <c r="B32" s="24">
        <v>65.33</v>
      </c>
      <c r="C32" s="24" t="s">
        <v>37</v>
      </c>
      <c r="D32" s="25" t="s">
        <v>37</v>
      </c>
      <c r="E32" s="25">
        <v>57.759494158396919</v>
      </c>
      <c r="F32" s="25">
        <v>53.441134161924928</v>
      </c>
      <c r="G32" s="26" t="s">
        <v>37</v>
      </c>
      <c r="H32" s="24">
        <v>57.154815961110053</v>
      </c>
      <c r="I32" s="25">
        <v>57.131682346568333</v>
      </c>
      <c r="J32" s="25">
        <v>54.549367669838865</v>
      </c>
      <c r="K32" s="25"/>
      <c r="L32" s="26">
        <v>51.370069434662739</v>
      </c>
      <c r="M32" s="25" t="str">
        <f t="shared" si="0"/>
        <v/>
      </c>
      <c r="N32" s="25" t="str">
        <f t="shared" si="15"/>
        <v/>
      </c>
      <c r="O32" s="25">
        <f t="shared" si="2"/>
        <v>-7.5705058416030795</v>
      </c>
      <c r="P32" s="25">
        <f t="shared" si="3"/>
        <v>-11.88886583807507</v>
      </c>
      <c r="Q32" s="26" t="str">
        <f t="shared" si="4"/>
        <v/>
      </c>
      <c r="R32" s="24">
        <f t="shared" si="10"/>
        <v>-8.1751840388899453</v>
      </c>
      <c r="S32" s="25">
        <f t="shared" si="11"/>
        <v>-8.1983176534316655</v>
      </c>
      <c r="T32" s="25">
        <f t="shared" si="12"/>
        <v>-10.780632330161133</v>
      </c>
      <c r="U32" s="25" t="str">
        <f t="shared" si="13"/>
        <v/>
      </c>
      <c r="V32" s="26">
        <f t="shared" si="14"/>
        <v>-13.95993056533726</v>
      </c>
      <c r="W32" s="34"/>
      <c r="X32" s="16"/>
      <c r="Y32" s="14"/>
    </row>
    <row r="33" spans="1:26" ht="12.5" x14ac:dyDescent="0.35">
      <c r="A33" s="19">
        <v>44317</v>
      </c>
      <c r="B33" s="20">
        <v>68.31</v>
      </c>
      <c r="C33" s="20">
        <v>69.288722684062876</v>
      </c>
      <c r="D33" s="21" t="s">
        <v>37</v>
      </c>
      <c r="E33" s="21">
        <v>62.23798897092756</v>
      </c>
      <c r="F33" s="21">
        <v>55.900486056381872</v>
      </c>
      <c r="G33" s="22" t="s">
        <v>37</v>
      </c>
      <c r="H33" s="20">
        <v>57.476386630282569</v>
      </c>
      <c r="I33" s="21">
        <v>57.325744852794259</v>
      </c>
      <c r="J33" s="21">
        <v>49.520660622241721</v>
      </c>
      <c r="K33" s="21">
        <v>49.328048974399749</v>
      </c>
      <c r="L33" s="22">
        <v>52.41015381484862</v>
      </c>
      <c r="M33" s="21">
        <f t="shared" si="0"/>
        <v>0.97872268406287333</v>
      </c>
      <c r="N33" s="21" t="str">
        <f t="shared" si="15"/>
        <v/>
      </c>
      <c r="O33" s="21">
        <f t="shared" si="2"/>
        <v>-6.0720110290724421</v>
      </c>
      <c r="P33" s="21">
        <f t="shared" si="3"/>
        <v>-12.40951394361813</v>
      </c>
      <c r="Q33" s="22" t="str">
        <f t="shared" si="4"/>
        <v/>
      </c>
      <c r="R33" s="20">
        <f t="shared" si="10"/>
        <v>-10.833613369717433</v>
      </c>
      <c r="S33" s="21">
        <f t="shared" si="11"/>
        <v>-10.984255147205744</v>
      </c>
      <c r="T33" s="21">
        <f t="shared" si="12"/>
        <v>-18.789339377758282</v>
      </c>
      <c r="U33" s="21">
        <f t="shared" si="13"/>
        <v>-18.981951025600253</v>
      </c>
      <c r="V33" s="22">
        <f t="shared" si="14"/>
        <v>-15.899846185151382</v>
      </c>
      <c r="W33" s="14"/>
      <c r="X33" s="14"/>
      <c r="Y33" s="14"/>
    </row>
    <row r="34" spans="1:26" ht="12.5" x14ac:dyDescent="0.35">
      <c r="A34" s="23">
        <v>44348</v>
      </c>
      <c r="B34" s="24">
        <v>73.41</v>
      </c>
      <c r="C34" s="24">
        <v>71.79626346595731</v>
      </c>
      <c r="D34" s="25" t="s">
        <v>37</v>
      </c>
      <c r="E34" s="25">
        <v>70.74043895845</v>
      </c>
      <c r="F34" s="25">
        <v>65.216079716470702</v>
      </c>
      <c r="G34" s="26">
        <v>64.524755170720113</v>
      </c>
      <c r="H34" s="24">
        <v>60.337861205136583</v>
      </c>
      <c r="I34" s="25">
        <v>60.609498072491327</v>
      </c>
      <c r="J34" s="25">
        <v>48.733271945322819</v>
      </c>
      <c r="K34" s="25"/>
      <c r="L34" s="26">
        <v>53.265564910650347</v>
      </c>
      <c r="M34" s="25">
        <f t="shared" si="0"/>
        <v>-1.6137365340426868</v>
      </c>
      <c r="N34" s="25" t="str">
        <f t="shared" si="15"/>
        <v/>
      </c>
      <c r="O34" s="25">
        <f t="shared" si="2"/>
        <v>-2.6695610415499971</v>
      </c>
      <c r="P34" s="25">
        <f t="shared" si="3"/>
        <v>-8.1939202835292946</v>
      </c>
      <c r="Q34" s="26">
        <f t="shared" si="4"/>
        <v>-8.885244829279884</v>
      </c>
      <c r="R34" s="24">
        <f t="shared" si="10"/>
        <v>-13.072138794863413</v>
      </c>
      <c r="S34" s="25">
        <f t="shared" si="11"/>
        <v>-12.80050192750867</v>
      </c>
      <c r="T34" s="25">
        <f t="shared" si="12"/>
        <v>-24.676728054677177</v>
      </c>
      <c r="U34" s="25" t="str">
        <f t="shared" si="13"/>
        <v/>
      </c>
      <c r="V34" s="26">
        <f t="shared" si="14"/>
        <v>-20.144435089349649</v>
      </c>
      <c r="W34" s="34"/>
      <c r="X34" s="16"/>
      <c r="Y34" s="14"/>
    </row>
    <row r="35" spans="1:26" ht="12.5" x14ac:dyDescent="0.35">
      <c r="W35" s="14"/>
      <c r="X35" s="14"/>
      <c r="Y35" s="14"/>
      <c r="Z35" s="15"/>
    </row>
    <row r="36" spans="1:26" ht="12.5" x14ac:dyDescent="0.35">
      <c r="A36" s="33" t="s">
        <v>35</v>
      </c>
      <c r="W36" s="14"/>
      <c r="X36" s="14"/>
      <c r="Y36" s="14"/>
      <c r="Z36" s="15"/>
    </row>
    <row r="37" spans="1:26" ht="12.5" x14ac:dyDescent="0.35">
      <c r="W37" s="14"/>
      <c r="X37" s="14"/>
      <c r="Y37" s="14"/>
      <c r="Z37" s="15"/>
    </row>
    <row r="38" spans="1:26" ht="12.5" x14ac:dyDescent="0.35">
      <c r="W38" s="14"/>
      <c r="X38" s="14"/>
      <c r="Y38" s="14"/>
      <c r="Z38" s="15"/>
    </row>
    <row r="39" spans="1:26" ht="12.5" x14ac:dyDescent="0.35">
      <c r="W39" s="14"/>
      <c r="X39" s="14"/>
      <c r="Y39" s="14"/>
      <c r="Z39" s="15"/>
    </row>
    <row r="40" spans="1:26" ht="12.5" x14ac:dyDescent="0.35">
      <c r="W40" s="14"/>
      <c r="X40" s="14"/>
      <c r="Y40" s="14"/>
      <c r="Z40" s="15"/>
    </row>
    <row r="41" spans="1:26" ht="12.5" x14ac:dyDescent="0.35">
      <c r="W41" s="14"/>
      <c r="X41" s="14"/>
      <c r="Y41" s="14"/>
      <c r="Z41" s="15"/>
    </row>
    <row r="42" spans="1:26" ht="12.5" x14ac:dyDescent="0.35">
      <c r="W42" s="14"/>
      <c r="X42" s="14"/>
      <c r="Y42" s="14"/>
      <c r="Z42" s="15"/>
    </row>
  </sheetData>
  <mergeCells count="4">
    <mergeCell ref="H3:L3"/>
    <mergeCell ref="C3:G3"/>
    <mergeCell ref="R3:V3"/>
    <mergeCell ref="M3:Q3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workbookViewId="0">
      <selection activeCell="B15" sqref="B15"/>
    </sheetView>
  </sheetViews>
  <sheetFormatPr baseColWidth="10" defaultRowHeight="15.5" x14ac:dyDescent="0.35"/>
  <cols>
    <col min="1" max="1" width="13.07421875" bestFit="1" customWidth="1"/>
    <col min="2" max="2" width="28.69140625" customWidth="1"/>
    <col min="3" max="3" width="34.3046875" bestFit="1" customWidth="1"/>
  </cols>
  <sheetData>
    <row r="1" spans="1:3" ht="16" thickBot="1" x14ac:dyDescent="0.4"/>
    <row r="2" spans="1:3" ht="16.5" thickTop="1" thickBot="1" x14ac:dyDescent="0.4">
      <c r="A2" s="1" t="s">
        <v>0</v>
      </c>
      <c r="B2" s="2" t="s">
        <v>8</v>
      </c>
      <c r="C2" s="3" t="s">
        <v>9</v>
      </c>
    </row>
    <row r="3" spans="1:3" ht="16" thickTop="1" x14ac:dyDescent="0.35">
      <c r="A3" s="4" t="s">
        <v>7</v>
      </c>
      <c r="B3" s="5" t="s">
        <v>10</v>
      </c>
      <c r="C3" s="6" t="s">
        <v>11</v>
      </c>
    </row>
    <row r="4" spans="1:3" x14ac:dyDescent="0.35">
      <c r="A4" s="7" t="s">
        <v>12</v>
      </c>
      <c r="B4" s="8" t="s">
        <v>10</v>
      </c>
      <c r="C4" s="9" t="s">
        <v>13</v>
      </c>
    </row>
    <row r="5" spans="1:3" x14ac:dyDescent="0.35">
      <c r="A5" s="10" t="s">
        <v>14</v>
      </c>
      <c r="B5" s="8" t="s">
        <v>15</v>
      </c>
      <c r="C5" s="9" t="s">
        <v>16</v>
      </c>
    </row>
    <row r="6" spans="1:3" x14ac:dyDescent="0.35">
      <c r="A6" s="10" t="s">
        <v>17</v>
      </c>
      <c r="B6" s="8" t="s">
        <v>15</v>
      </c>
      <c r="C6" s="9" t="s">
        <v>11</v>
      </c>
    </row>
    <row r="7" spans="1:3" x14ac:dyDescent="0.35">
      <c r="A7" s="10" t="s">
        <v>18</v>
      </c>
      <c r="B7" s="8" t="s">
        <v>19</v>
      </c>
      <c r="C7" s="9" t="s">
        <v>11</v>
      </c>
    </row>
    <row r="8" spans="1:3" x14ac:dyDescent="0.35">
      <c r="A8" s="10" t="s">
        <v>1</v>
      </c>
      <c r="B8" s="8" t="s">
        <v>19</v>
      </c>
      <c r="C8" s="9" t="s">
        <v>20</v>
      </c>
    </row>
    <row r="9" spans="1:3" x14ac:dyDescent="0.35">
      <c r="A9" s="10" t="s">
        <v>5</v>
      </c>
      <c r="B9" s="8" t="s">
        <v>21</v>
      </c>
      <c r="C9" s="9" t="s">
        <v>22</v>
      </c>
    </row>
    <row r="10" spans="1:3" x14ac:dyDescent="0.35">
      <c r="A10" s="10" t="s">
        <v>23</v>
      </c>
      <c r="B10" s="8" t="s">
        <v>24</v>
      </c>
      <c r="C10" s="9" t="s">
        <v>25</v>
      </c>
    </row>
    <row r="11" spans="1:3" ht="16" thickBot="1" x14ac:dyDescent="0.4">
      <c r="A11" s="11" t="s">
        <v>26</v>
      </c>
      <c r="B11" s="12" t="s">
        <v>27</v>
      </c>
      <c r="C11" s="13" t="s">
        <v>28</v>
      </c>
    </row>
    <row r="12" spans="1:3" ht="16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</vt:lpstr>
      <vt:lpstr>tipos de crudo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Lazarte</dc:creator>
  <cp:lastModifiedBy>Ministerio</cp:lastModifiedBy>
  <dcterms:created xsi:type="dcterms:W3CDTF">2019-07-12T16:54:45Z</dcterms:created>
  <dcterms:modified xsi:type="dcterms:W3CDTF">2021-08-12T16:31:26Z</dcterms:modified>
</cp:coreProperties>
</file>