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88" yWindow="120" windowWidth="15828" windowHeight="5256" activeTab="2"/>
  </bookViews>
  <sheets>
    <sheet name="Propia" sheetId="1" r:id="rId1"/>
    <sheet name="Largo Plazo" sheetId="5" r:id="rId2"/>
    <sheet name="Corporaciones" sheetId="6" r:id="rId3"/>
    <sheet name="Hoja2" sheetId="2" r:id="rId4"/>
    <sheet name="Hoja3" sheetId="3" r:id="rId5"/>
  </sheets>
  <calcPr calcId="124519"/>
</workbook>
</file>

<file path=xl/calcChain.xml><?xml version="1.0" encoding="utf-8"?>
<calcChain xmlns="http://schemas.openxmlformats.org/spreadsheetml/2006/main">
  <c r="AF101" i="5"/>
  <c r="AE101"/>
  <c r="AF100"/>
  <c r="AE100"/>
  <c r="AF99"/>
  <c r="AE99"/>
  <c r="AF98"/>
  <c r="AE98"/>
  <c r="AF97"/>
  <c r="AE97"/>
  <c r="AF96"/>
  <c r="AE96"/>
  <c r="AF95"/>
  <c r="AE95"/>
  <c r="AF94"/>
  <c r="AE94"/>
  <c r="AF93"/>
  <c r="AE93"/>
  <c r="AF92"/>
  <c r="AE92"/>
  <c r="AF91"/>
  <c r="AE91"/>
  <c r="AF90"/>
  <c r="AE90"/>
  <c r="AF89"/>
  <c r="AE89"/>
  <c r="AF88"/>
  <c r="AE88"/>
  <c r="AF87"/>
  <c r="AE87"/>
  <c r="AF86"/>
  <c r="AE86"/>
  <c r="AF85"/>
  <c r="AE85"/>
  <c r="AF84"/>
  <c r="AE84"/>
  <c r="AF83"/>
  <c r="AE83"/>
  <c r="AF82"/>
  <c r="AE82"/>
  <c r="AF81"/>
  <c r="AE81"/>
  <c r="AF80"/>
  <c r="AE80"/>
  <c r="AF79"/>
  <c r="AE79"/>
  <c r="AF78"/>
  <c r="AE78"/>
  <c r="AF77"/>
  <c r="AE77"/>
  <c r="AF76"/>
  <c r="AE76"/>
  <c r="AF75"/>
  <c r="AE75"/>
  <c r="AF74"/>
  <c r="AE74"/>
  <c r="AF73"/>
  <c r="AE73"/>
  <c r="AF72"/>
  <c r="AE72"/>
  <c r="AF71"/>
  <c r="AE71"/>
  <c r="AF70"/>
  <c r="AE70"/>
  <c r="AF69"/>
  <c r="AE69"/>
  <c r="AF68"/>
  <c r="AE68"/>
  <c r="AF67"/>
  <c r="AE67"/>
  <c r="AF66"/>
  <c r="AE66"/>
  <c r="AF65"/>
  <c r="AE65"/>
  <c r="AF64"/>
  <c r="AE64"/>
  <c r="AF63"/>
  <c r="AE63"/>
  <c r="AF62"/>
  <c r="AE62"/>
  <c r="AF61"/>
  <c r="AE61"/>
  <c r="AF60"/>
  <c r="AE60"/>
  <c r="AF59"/>
  <c r="AE59"/>
  <c r="AF58"/>
  <c r="AE58"/>
  <c r="AF57"/>
  <c r="AE57"/>
  <c r="AF56"/>
  <c r="AE56"/>
  <c r="AF55"/>
  <c r="AE55"/>
  <c r="AF54"/>
  <c r="AE54"/>
  <c r="AF53"/>
  <c r="AE53"/>
  <c r="AF52"/>
  <c r="AE52"/>
  <c r="AF51"/>
  <c r="AE51"/>
  <c r="AF50"/>
  <c r="AE50"/>
  <c r="AF49"/>
  <c r="AE49"/>
  <c r="AF48"/>
  <c r="AE48"/>
  <c r="AF47"/>
  <c r="AE47"/>
  <c r="AF46"/>
  <c r="AE46"/>
  <c r="AF45"/>
  <c r="AE45"/>
  <c r="AF44"/>
  <c r="AE44"/>
  <c r="AF43"/>
  <c r="AE43"/>
  <c r="AF42"/>
  <c r="AE42"/>
  <c r="AF41"/>
  <c r="AE41"/>
  <c r="AF40"/>
  <c r="AE40"/>
  <c r="AF39"/>
  <c r="AE39"/>
  <c r="AF38"/>
  <c r="AE38"/>
  <c r="AF37"/>
  <c r="AE37"/>
  <c r="AF36"/>
  <c r="AE36"/>
  <c r="AF35"/>
  <c r="AE35"/>
  <c r="AF34"/>
  <c r="AE34"/>
  <c r="AF33"/>
  <c r="AE33"/>
  <c r="AF32"/>
  <c r="AE32"/>
  <c r="AF31"/>
  <c r="AE31"/>
  <c r="AF30"/>
  <c r="AE30"/>
  <c r="AF29"/>
  <c r="AE29"/>
  <c r="AF28"/>
  <c r="AE28"/>
  <c r="AF27"/>
  <c r="AE27"/>
  <c r="AF26"/>
  <c r="AE26"/>
  <c r="AF25"/>
  <c r="AE25"/>
  <c r="AF24"/>
  <c r="AE24"/>
  <c r="AF23"/>
  <c r="AE23"/>
  <c r="AF22"/>
  <c r="AE22"/>
  <c r="AF21"/>
  <c r="AE21"/>
  <c r="AF20"/>
  <c r="AE20"/>
  <c r="AF19"/>
  <c r="AE19"/>
  <c r="AF18"/>
  <c r="AE18"/>
  <c r="AF17"/>
  <c r="AE17"/>
  <c r="AF16"/>
  <c r="AE16"/>
  <c r="AF15"/>
  <c r="AE15"/>
  <c r="AF14"/>
  <c r="AE14"/>
  <c r="AF13"/>
  <c r="AE13"/>
  <c r="AF12"/>
  <c r="AE12"/>
  <c r="AF11"/>
  <c r="AE11"/>
  <c r="AF10"/>
  <c r="AE10"/>
  <c r="AF9"/>
  <c r="AE9"/>
  <c r="AF8"/>
  <c r="AE8"/>
  <c r="AF7"/>
  <c r="AE7"/>
  <c r="AD5"/>
  <c r="AB101"/>
  <c r="AA101"/>
  <c r="AB100"/>
  <c r="AA100"/>
  <c r="AB99"/>
  <c r="AA99"/>
  <c r="AB98"/>
  <c r="AA98"/>
  <c r="AB97"/>
  <c r="AA97"/>
  <c r="AB96"/>
  <c r="AA96"/>
  <c r="AB95"/>
  <c r="AA95"/>
  <c r="AB94"/>
  <c r="AA94"/>
  <c r="AB93"/>
  <c r="AA93"/>
  <c r="AB92"/>
  <c r="AA92"/>
  <c r="AB91"/>
  <c r="AA91"/>
  <c r="AB90"/>
  <c r="AA90"/>
  <c r="AB89"/>
  <c r="AA89"/>
  <c r="AB88"/>
  <c r="AA88"/>
  <c r="AB87"/>
  <c r="AA87"/>
  <c r="AB86"/>
  <c r="AA86"/>
  <c r="AB85"/>
  <c r="AA85"/>
  <c r="AB84"/>
  <c r="AA84"/>
  <c r="AB83"/>
  <c r="AA83"/>
  <c r="AB82"/>
  <c r="AA82"/>
  <c r="AB81"/>
  <c r="AA81"/>
  <c r="AB80"/>
  <c r="AA80"/>
  <c r="AB79"/>
  <c r="AA79"/>
  <c r="AB78"/>
  <c r="AA78"/>
  <c r="AB77"/>
  <c r="AA77"/>
  <c r="AB76"/>
  <c r="AA76"/>
  <c r="AB75"/>
  <c r="AA75"/>
  <c r="AB74"/>
  <c r="AA74"/>
  <c r="AB73"/>
  <c r="AA73"/>
  <c r="AB72"/>
  <c r="AA72"/>
  <c r="AB71"/>
  <c r="AA71"/>
  <c r="AB70"/>
  <c r="AA70"/>
  <c r="AB69"/>
  <c r="AA69"/>
  <c r="AB68"/>
  <c r="AA68"/>
  <c r="AB67"/>
  <c r="AA67"/>
  <c r="AB66"/>
  <c r="AA66"/>
  <c r="AB65"/>
  <c r="AA65"/>
  <c r="AB64"/>
  <c r="AA64"/>
  <c r="AB63"/>
  <c r="AA63"/>
  <c r="AB62"/>
  <c r="AA62"/>
  <c r="AB61"/>
  <c r="AA61"/>
  <c r="AB60"/>
  <c r="AA60"/>
  <c r="AB59"/>
  <c r="AA59"/>
  <c r="AB58"/>
  <c r="AA58"/>
  <c r="AB57"/>
  <c r="AA57"/>
  <c r="AB56"/>
  <c r="AA56"/>
  <c r="AB55"/>
  <c r="AA55"/>
  <c r="AB54"/>
  <c r="AA54"/>
  <c r="AB53"/>
  <c r="AA53"/>
  <c r="AB52"/>
  <c r="AA52"/>
  <c r="AB51"/>
  <c r="AA51"/>
  <c r="AB50"/>
  <c r="AA50"/>
  <c r="AB49"/>
  <c r="AA49"/>
  <c r="AB48"/>
  <c r="AA48"/>
  <c r="AB47"/>
  <c r="AA47"/>
  <c r="AB46"/>
  <c r="AA46"/>
  <c r="AB45"/>
  <c r="AA45"/>
  <c r="AB44"/>
  <c r="AA44"/>
  <c r="AB43"/>
  <c r="AA43"/>
  <c r="AB42"/>
  <c r="AA42"/>
  <c r="AB41"/>
  <c r="AA41"/>
  <c r="AB40"/>
  <c r="AA40"/>
  <c r="AB39"/>
  <c r="AA39"/>
  <c r="AB38"/>
  <c r="AA38"/>
  <c r="AB37"/>
  <c r="AA37"/>
  <c r="AB36"/>
  <c r="AA36"/>
  <c r="AB35"/>
  <c r="AA35"/>
  <c r="AB34"/>
  <c r="AA34"/>
  <c r="AB33"/>
  <c r="AA33"/>
  <c r="AB32"/>
  <c r="AA32"/>
  <c r="AB31"/>
  <c r="AA31"/>
  <c r="AB30"/>
  <c r="AA30"/>
  <c r="AB29"/>
  <c r="AA29"/>
  <c r="AB28"/>
  <c r="AA28"/>
  <c r="AB27"/>
  <c r="AA27"/>
  <c r="AB26"/>
  <c r="AA26"/>
  <c r="AB25"/>
  <c r="AA25"/>
  <c r="AB24"/>
  <c r="AA24"/>
  <c r="AB23"/>
  <c r="AA23"/>
  <c r="AB22"/>
  <c r="AA22"/>
  <c r="AB21"/>
  <c r="AA21"/>
  <c r="AB20"/>
  <c r="AA20"/>
  <c r="AB19"/>
  <c r="AA19"/>
  <c r="AB18"/>
  <c r="AA18"/>
  <c r="AB17"/>
  <c r="AA17"/>
  <c r="AB16"/>
  <c r="AA16"/>
  <c r="AB15"/>
  <c r="AA15"/>
  <c r="AB14"/>
  <c r="AA14"/>
  <c r="AB13"/>
  <c r="AA13"/>
  <c r="AB12"/>
  <c r="AA12"/>
  <c r="AB11"/>
  <c r="AA11"/>
  <c r="AB10"/>
  <c r="AA10"/>
  <c r="AB9"/>
  <c r="AA9"/>
  <c r="AB8"/>
  <c r="AA8"/>
  <c r="AB7"/>
  <c r="Z5"/>
  <c r="AA7"/>
  <c r="W101"/>
  <c r="X101" s="1"/>
  <c r="X100"/>
  <c r="W100"/>
  <c r="W99"/>
  <c r="X99" s="1"/>
  <c r="X98"/>
  <c r="W98"/>
  <c r="W97"/>
  <c r="X97" s="1"/>
  <c r="X96"/>
  <c r="W96"/>
  <c r="W95"/>
  <c r="X95" s="1"/>
  <c r="X94"/>
  <c r="W94"/>
  <c r="W93"/>
  <c r="X93" s="1"/>
  <c r="X92"/>
  <c r="W92"/>
  <c r="W91"/>
  <c r="X91" s="1"/>
  <c r="X90"/>
  <c r="W90"/>
  <c r="W89"/>
  <c r="X89" s="1"/>
  <c r="X88"/>
  <c r="W88"/>
  <c r="W87"/>
  <c r="X87" s="1"/>
  <c r="X86"/>
  <c r="W86"/>
  <c r="W85"/>
  <c r="X85" s="1"/>
  <c r="X84"/>
  <c r="W84"/>
  <c r="W83"/>
  <c r="X83" s="1"/>
  <c r="X82"/>
  <c r="W82"/>
  <c r="W81"/>
  <c r="X81" s="1"/>
  <c r="X80"/>
  <c r="W80"/>
  <c r="W79"/>
  <c r="X79" s="1"/>
  <c r="X78"/>
  <c r="W78"/>
  <c r="W77"/>
  <c r="X77" s="1"/>
  <c r="X76"/>
  <c r="W76"/>
  <c r="W75"/>
  <c r="X75" s="1"/>
  <c r="X74"/>
  <c r="W74"/>
  <c r="W73"/>
  <c r="X73" s="1"/>
  <c r="X72"/>
  <c r="W72"/>
  <c r="W71"/>
  <c r="X71" s="1"/>
  <c r="X70"/>
  <c r="W70"/>
  <c r="W69"/>
  <c r="X69" s="1"/>
  <c r="X68"/>
  <c r="W68"/>
  <c r="W67"/>
  <c r="X67" s="1"/>
  <c r="X66"/>
  <c r="W66"/>
  <c r="W65"/>
  <c r="X65" s="1"/>
  <c r="X64"/>
  <c r="W64"/>
  <c r="W63"/>
  <c r="X63" s="1"/>
  <c r="X62"/>
  <c r="W62"/>
  <c r="W61"/>
  <c r="X61" s="1"/>
  <c r="X60"/>
  <c r="W60"/>
  <c r="W59"/>
  <c r="X59" s="1"/>
  <c r="X58"/>
  <c r="W58"/>
  <c r="W57"/>
  <c r="X57" s="1"/>
  <c r="X56"/>
  <c r="W56"/>
  <c r="W55"/>
  <c r="X55" s="1"/>
  <c r="X54"/>
  <c r="W54"/>
  <c r="W53"/>
  <c r="X53" s="1"/>
  <c r="X52"/>
  <c r="W52"/>
  <c r="W51"/>
  <c r="X51" s="1"/>
  <c r="X50"/>
  <c r="W50"/>
  <c r="W49"/>
  <c r="X49" s="1"/>
  <c r="X48"/>
  <c r="W48"/>
  <c r="W47"/>
  <c r="X47" s="1"/>
  <c r="X46"/>
  <c r="W46"/>
  <c r="W45"/>
  <c r="X45" s="1"/>
  <c r="X44"/>
  <c r="W44"/>
  <c r="W43"/>
  <c r="X43" s="1"/>
  <c r="X42"/>
  <c r="W42"/>
  <c r="W41"/>
  <c r="X41" s="1"/>
  <c r="X40"/>
  <c r="W40"/>
  <c r="W39"/>
  <c r="X39" s="1"/>
  <c r="X38"/>
  <c r="W38"/>
  <c r="W37"/>
  <c r="X37" s="1"/>
  <c r="X36"/>
  <c r="W36"/>
  <c r="W35"/>
  <c r="X35" s="1"/>
  <c r="X34"/>
  <c r="W34"/>
  <c r="W33"/>
  <c r="X33" s="1"/>
  <c r="X32"/>
  <c r="W32"/>
  <c r="W31"/>
  <c r="X31" s="1"/>
  <c r="X30"/>
  <c r="W30"/>
  <c r="W29"/>
  <c r="X29" s="1"/>
  <c r="X28"/>
  <c r="W28"/>
  <c r="W27"/>
  <c r="X27" s="1"/>
  <c r="X26"/>
  <c r="W26"/>
  <c r="W25"/>
  <c r="X25" s="1"/>
  <c r="X24"/>
  <c r="W24"/>
  <c r="W23"/>
  <c r="X23" s="1"/>
  <c r="X22"/>
  <c r="W22"/>
  <c r="W21"/>
  <c r="X21" s="1"/>
  <c r="X20"/>
  <c r="W20"/>
  <c r="W19"/>
  <c r="X19" s="1"/>
  <c r="X18"/>
  <c r="W18"/>
  <c r="W17"/>
  <c r="X17" s="1"/>
  <c r="X16"/>
  <c r="W16"/>
  <c r="W15"/>
  <c r="X15" s="1"/>
  <c r="X14"/>
  <c r="W14"/>
  <c r="W13"/>
  <c r="X13" s="1"/>
  <c r="X12"/>
  <c r="W12"/>
  <c r="W11"/>
  <c r="X11" s="1"/>
  <c r="X10"/>
  <c r="W10"/>
  <c r="W9"/>
  <c r="X9" s="1"/>
  <c r="X8"/>
  <c r="W8"/>
  <c r="X7"/>
  <c r="W7"/>
  <c r="V5"/>
  <c r="T101"/>
  <c r="S101"/>
  <c r="T100"/>
  <c r="S100"/>
  <c r="T99"/>
  <c r="S99"/>
  <c r="T98"/>
  <c r="S98"/>
  <c r="T97"/>
  <c r="S97"/>
  <c r="T96"/>
  <c r="S96"/>
  <c r="T95"/>
  <c r="S95"/>
  <c r="T94"/>
  <c r="S94"/>
  <c r="T93"/>
  <c r="S93"/>
  <c r="T92"/>
  <c r="S92"/>
  <c r="T91"/>
  <c r="S91"/>
  <c r="T90"/>
  <c r="S90"/>
  <c r="T89"/>
  <c r="S89"/>
  <c r="T88"/>
  <c r="S88"/>
  <c r="T87"/>
  <c r="S87"/>
  <c r="T86"/>
  <c r="S86"/>
  <c r="T85"/>
  <c r="S85"/>
  <c r="T84"/>
  <c r="S84"/>
  <c r="T83"/>
  <c r="S83"/>
  <c r="T82"/>
  <c r="S82"/>
  <c r="T81"/>
  <c r="S81"/>
  <c r="T80"/>
  <c r="S80"/>
  <c r="T79"/>
  <c r="S79"/>
  <c r="T78"/>
  <c r="S78"/>
  <c r="T77"/>
  <c r="S77"/>
  <c r="T76"/>
  <c r="S76"/>
  <c r="T75"/>
  <c r="S75"/>
  <c r="T74"/>
  <c r="S74"/>
  <c r="T73"/>
  <c r="S73"/>
  <c r="T72"/>
  <c r="S72"/>
  <c r="T71"/>
  <c r="S71"/>
  <c r="T70"/>
  <c r="S70"/>
  <c r="T69"/>
  <c r="S69"/>
  <c r="T68"/>
  <c r="S68"/>
  <c r="T67"/>
  <c r="S67"/>
  <c r="T66"/>
  <c r="S66"/>
  <c r="T65"/>
  <c r="S65"/>
  <c r="T64"/>
  <c r="S64"/>
  <c r="T63"/>
  <c r="S63"/>
  <c r="T62"/>
  <c r="S62"/>
  <c r="T61"/>
  <c r="S61"/>
  <c r="T60"/>
  <c r="S60"/>
  <c r="T59"/>
  <c r="S59"/>
  <c r="T58"/>
  <c r="S58"/>
  <c r="T57"/>
  <c r="S57"/>
  <c r="T56"/>
  <c r="S56"/>
  <c r="T55"/>
  <c r="S55"/>
  <c r="T54"/>
  <c r="S54"/>
  <c r="T53"/>
  <c r="S53"/>
  <c r="T52"/>
  <c r="S52"/>
  <c r="T51"/>
  <c r="S51"/>
  <c r="T50"/>
  <c r="S50"/>
  <c r="T49"/>
  <c r="S49"/>
  <c r="T48"/>
  <c r="S48"/>
  <c r="T47"/>
  <c r="S47"/>
  <c r="T46"/>
  <c r="S46"/>
  <c r="T45"/>
  <c r="S45"/>
  <c r="T44"/>
  <c r="S44"/>
  <c r="T43"/>
  <c r="S43"/>
  <c r="T42"/>
  <c r="S42"/>
  <c r="T41"/>
  <c r="S41"/>
  <c r="T40"/>
  <c r="S40"/>
  <c r="T39"/>
  <c r="S39"/>
  <c r="T38"/>
  <c r="S38"/>
  <c r="T37"/>
  <c r="S37"/>
  <c r="T36"/>
  <c r="S36"/>
  <c r="T35"/>
  <c r="S35"/>
  <c r="T34"/>
  <c r="S34"/>
  <c r="T33"/>
  <c r="S33"/>
  <c r="T32"/>
  <c r="S32"/>
  <c r="T31"/>
  <c r="S31"/>
  <c r="T30"/>
  <c r="S30"/>
  <c r="T29"/>
  <c r="S29"/>
  <c r="T28"/>
  <c r="S28"/>
  <c r="T27"/>
  <c r="S27"/>
  <c r="T26"/>
  <c r="S26"/>
  <c r="T25"/>
  <c r="S25"/>
  <c r="T24"/>
  <c r="S24"/>
  <c r="T23"/>
  <c r="S23"/>
  <c r="T22"/>
  <c r="S22"/>
  <c r="T21"/>
  <c r="S21"/>
  <c r="T20"/>
  <c r="S20"/>
  <c r="T19"/>
  <c r="S19"/>
  <c r="T18"/>
  <c r="S18"/>
  <c r="T17"/>
  <c r="S17"/>
  <c r="T16"/>
  <c r="S16"/>
  <c r="T15"/>
  <c r="S15"/>
  <c r="T14"/>
  <c r="S14"/>
  <c r="T13"/>
  <c r="S13"/>
  <c r="T12"/>
  <c r="S12"/>
  <c r="T11"/>
  <c r="S11"/>
  <c r="T10"/>
  <c r="S10"/>
  <c r="T9"/>
  <c r="S9"/>
  <c r="T8"/>
  <c r="S8"/>
  <c r="T7"/>
  <c r="S7"/>
  <c r="R5"/>
  <c r="AO95" i="6"/>
  <c r="AN95"/>
  <c r="AO94"/>
  <c r="AN94"/>
  <c r="AO93"/>
  <c r="AN93"/>
  <c r="AO92"/>
  <c r="AN92"/>
  <c r="AO91"/>
  <c r="AN91"/>
  <c r="AO90"/>
  <c r="AN90"/>
  <c r="AO89"/>
  <c r="AN89"/>
  <c r="AO88"/>
  <c r="AN88"/>
  <c r="AO87"/>
  <c r="AN87"/>
  <c r="AO86"/>
  <c r="AN86"/>
  <c r="AO85"/>
  <c r="AN85"/>
  <c r="AO84"/>
  <c r="AN84"/>
  <c r="AO83"/>
  <c r="AN83"/>
  <c r="AO82"/>
  <c r="AN82"/>
  <c r="AO81"/>
  <c r="AN81"/>
  <c r="AO80"/>
  <c r="AN80"/>
  <c r="AO79"/>
  <c r="AN79"/>
  <c r="AO78"/>
  <c r="AN78"/>
  <c r="AO77"/>
  <c r="AN77"/>
  <c r="AO76"/>
  <c r="AN76"/>
  <c r="AO75"/>
  <c r="AN75"/>
  <c r="AO74"/>
  <c r="AN74"/>
  <c r="AO73"/>
  <c r="AN73"/>
  <c r="AO72"/>
  <c r="AN72"/>
  <c r="AO71"/>
  <c r="AN71"/>
  <c r="AO70"/>
  <c r="AN70"/>
  <c r="AO69"/>
  <c r="AN69"/>
  <c r="AO68"/>
  <c r="AN68"/>
  <c r="AO67"/>
  <c r="AN67"/>
  <c r="AO66"/>
  <c r="AN66"/>
  <c r="AO65"/>
  <c r="AN65"/>
  <c r="AO64"/>
  <c r="AN64"/>
  <c r="AO63"/>
  <c r="AN63"/>
  <c r="AO62"/>
  <c r="AN62"/>
  <c r="AO61"/>
  <c r="AN61"/>
  <c r="AO60"/>
  <c r="AN60"/>
  <c r="AO59"/>
  <c r="AN59"/>
  <c r="AO58"/>
  <c r="AN58"/>
  <c r="AO57"/>
  <c r="AN57"/>
  <c r="AO56"/>
  <c r="AN56"/>
  <c r="AO55"/>
  <c r="AN55"/>
  <c r="AO54"/>
  <c r="AN54"/>
  <c r="AO53"/>
  <c r="AN53"/>
  <c r="AO52"/>
  <c r="AN52"/>
  <c r="AO51"/>
  <c r="AN51"/>
  <c r="AO50"/>
  <c r="AN50"/>
  <c r="AO49"/>
  <c r="AN49"/>
  <c r="AO48"/>
  <c r="AN48"/>
  <c r="AO47"/>
  <c r="AN47"/>
  <c r="AO46"/>
  <c r="AN46"/>
  <c r="AO45"/>
  <c r="AN45"/>
  <c r="AO44"/>
  <c r="AN44"/>
  <c r="AO43"/>
  <c r="AN43"/>
  <c r="AO42"/>
  <c r="AN42"/>
  <c r="AO41"/>
  <c r="AN41"/>
  <c r="AO40"/>
  <c r="AN40"/>
  <c r="AO39"/>
  <c r="AN39"/>
  <c r="AO38"/>
  <c r="AN38"/>
  <c r="AO37"/>
  <c r="AN37"/>
  <c r="AO36"/>
  <c r="AN36"/>
  <c r="AO35"/>
  <c r="AN35"/>
  <c r="AO34"/>
  <c r="AN34"/>
  <c r="AO33"/>
  <c r="AN33"/>
  <c r="AO32"/>
  <c r="AN32"/>
  <c r="AO31"/>
  <c r="AN31"/>
  <c r="AO30"/>
  <c r="AN30"/>
  <c r="AO29"/>
  <c r="AN29"/>
  <c r="AO28"/>
  <c r="AN28"/>
  <c r="AO27"/>
  <c r="AN27"/>
  <c r="AO26"/>
  <c r="AN26"/>
  <c r="AO25"/>
  <c r="AN25"/>
  <c r="AO24"/>
  <c r="AN24"/>
  <c r="AO23"/>
  <c r="AN23"/>
  <c r="AO22"/>
  <c r="AN22"/>
  <c r="AO21"/>
  <c r="AN21"/>
  <c r="AO20"/>
  <c r="AN20"/>
  <c r="AO19"/>
  <c r="AN19"/>
  <c r="AO18"/>
  <c r="AN18"/>
  <c r="AM95"/>
  <c r="AM94"/>
  <c r="AM93"/>
  <c r="AM92"/>
  <c r="AM91"/>
  <c r="AM90"/>
  <c r="AM89"/>
  <c r="AM88"/>
  <c r="AM87"/>
  <c r="AM86"/>
  <c r="AM85"/>
  <c r="AM84"/>
  <c r="AM83"/>
  <c r="AM82"/>
  <c r="AM81"/>
  <c r="AM80"/>
  <c r="AM79"/>
  <c r="AM78"/>
  <c r="AM77"/>
  <c r="AM76"/>
  <c r="AK95"/>
  <c r="AK94"/>
  <c r="AK93"/>
  <c r="AK92"/>
  <c r="AK91"/>
  <c r="AK90"/>
  <c r="AK89"/>
  <c r="AK88"/>
  <c r="AK87"/>
  <c r="AK86"/>
  <c r="AK85"/>
  <c r="AK84"/>
  <c r="AK83"/>
  <c r="AK82"/>
  <c r="AK81"/>
  <c r="AK80"/>
  <c r="AK79"/>
  <c r="AK78"/>
  <c r="AK77"/>
  <c r="AK76"/>
  <c r="AK75"/>
  <c r="AK74"/>
  <c r="AK73"/>
  <c r="AK72"/>
  <c r="AK71"/>
  <c r="AK70"/>
  <c r="AK69"/>
  <c r="AK68"/>
  <c r="AK67"/>
  <c r="AK66"/>
  <c r="AK65"/>
  <c r="AK64"/>
  <c r="AK63"/>
  <c r="AK62"/>
  <c r="AK61"/>
  <c r="AK60"/>
  <c r="AK59"/>
  <c r="AK58"/>
  <c r="AK57"/>
  <c r="AK56"/>
  <c r="AK55"/>
  <c r="AK54"/>
  <c r="AK53"/>
  <c r="AK52"/>
  <c r="AK51"/>
  <c r="AK50"/>
  <c r="AK49"/>
  <c r="AK48"/>
  <c r="AK47"/>
  <c r="AK46"/>
  <c r="AK45"/>
  <c r="AK44"/>
  <c r="AK43"/>
  <c r="AK42"/>
  <c r="AK41"/>
  <c r="AK40"/>
  <c r="AK39"/>
  <c r="AK38"/>
  <c r="AK37"/>
  <c r="AK36"/>
  <c r="AK35"/>
  <c r="AK34"/>
  <c r="AK33"/>
  <c r="AK32"/>
  <c r="AK31"/>
  <c r="AK30"/>
  <c r="AK29"/>
  <c r="AK28"/>
  <c r="AK27"/>
  <c r="AK26"/>
  <c r="AK25"/>
  <c r="AK24"/>
  <c r="AK23"/>
  <c r="AK22"/>
  <c r="AK21"/>
  <c r="AK20"/>
  <c r="AK19"/>
  <c r="AK18"/>
  <c r="AK17"/>
  <c r="AK16"/>
  <c r="AK15"/>
  <c r="AK14"/>
  <c r="AK13"/>
  <c r="AK12"/>
  <c r="AK11"/>
  <c r="AK10"/>
  <c r="AK9"/>
  <c r="AK8"/>
  <c r="AK7"/>
  <c r="AG95"/>
  <c r="AG94"/>
  <c r="AG93"/>
  <c r="AG92"/>
  <c r="AG91"/>
  <c r="AG90"/>
  <c r="AG89"/>
  <c r="AG88"/>
  <c r="AG87"/>
  <c r="AG86"/>
  <c r="AG85"/>
  <c r="AG84"/>
  <c r="AG83"/>
  <c r="AG82"/>
  <c r="AG81"/>
  <c r="AG80"/>
  <c r="AG79"/>
  <c r="AG78"/>
  <c r="AG77"/>
  <c r="AG76"/>
  <c r="AG75"/>
  <c r="AG74"/>
  <c r="AG73"/>
  <c r="AG72"/>
  <c r="AG71"/>
  <c r="AG70"/>
  <c r="AG69"/>
  <c r="AG68"/>
  <c r="AG67"/>
  <c r="AG66"/>
  <c r="AG65"/>
  <c r="AG64"/>
  <c r="AG63"/>
  <c r="AG62"/>
  <c r="AG61"/>
  <c r="AG60"/>
  <c r="AG59"/>
  <c r="AG58"/>
  <c r="AG57"/>
  <c r="AG56"/>
  <c r="AG55"/>
  <c r="AG54"/>
  <c r="AG53"/>
  <c r="AG52"/>
  <c r="AG51"/>
  <c r="AG50"/>
  <c r="AG49"/>
  <c r="AG48"/>
  <c r="AG47"/>
  <c r="AG46"/>
  <c r="AG45"/>
  <c r="AG44"/>
  <c r="AG43"/>
  <c r="AG42"/>
  <c r="AG41"/>
  <c r="AG40"/>
  <c r="AG39"/>
  <c r="AG38"/>
  <c r="AG37"/>
  <c r="AG36"/>
  <c r="AG35"/>
  <c r="AG34"/>
  <c r="AG33"/>
  <c r="AG32"/>
  <c r="AG31"/>
  <c r="AG30"/>
  <c r="AG29"/>
  <c r="AG28"/>
  <c r="AG27"/>
  <c r="AG26"/>
  <c r="AG25"/>
  <c r="AG24"/>
  <c r="AG23"/>
  <c r="AG22"/>
  <c r="AG21"/>
  <c r="AG20"/>
  <c r="AG19"/>
  <c r="AG18"/>
  <c r="AC95"/>
  <c r="AC94"/>
  <c r="AC93"/>
  <c r="AC92"/>
  <c r="AC91"/>
  <c r="AC90"/>
  <c r="AC89"/>
  <c r="AC88"/>
  <c r="AC87"/>
  <c r="AC86"/>
  <c r="AC85"/>
  <c r="AC84"/>
  <c r="AC83"/>
  <c r="AC82"/>
  <c r="AC81"/>
  <c r="AC80"/>
  <c r="AC79"/>
  <c r="AC78"/>
  <c r="AC77"/>
  <c r="AC76"/>
  <c r="AC75"/>
  <c r="AC74"/>
  <c r="AC73"/>
  <c r="AC72"/>
  <c r="AC71"/>
  <c r="AC70"/>
  <c r="AC69"/>
  <c r="AC68"/>
  <c r="AC67"/>
  <c r="AC66"/>
  <c r="AC65"/>
  <c r="AC64"/>
  <c r="AC63"/>
  <c r="AC62"/>
  <c r="AC61"/>
  <c r="AC60"/>
  <c r="AC59"/>
  <c r="AC58"/>
  <c r="AC57"/>
  <c r="AC56"/>
  <c r="AC55"/>
  <c r="AC54"/>
  <c r="AC53"/>
  <c r="AC52"/>
  <c r="AC51"/>
  <c r="AC50"/>
  <c r="AC49"/>
  <c r="AC48"/>
  <c r="AC47"/>
  <c r="AC46"/>
  <c r="AC45"/>
  <c r="AC44"/>
  <c r="AC43"/>
  <c r="AC42"/>
  <c r="AC41"/>
  <c r="AC40"/>
  <c r="AC39"/>
  <c r="AC38"/>
  <c r="AC37"/>
  <c r="AC36"/>
  <c r="AC35"/>
  <c r="AC34"/>
  <c r="AC33"/>
  <c r="AC32"/>
  <c r="AC31"/>
  <c r="AC30"/>
  <c r="AC29"/>
  <c r="AC28"/>
  <c r="AC27"/>
  <c r="AC26"/>
  <c r="AC25"/>
  <c r="AC24"/>
  <c r="AC23"/>
  <c r="AC22"/>
  <c r="AC21"/>
  <c r="AC20"/>
  <c r="AC19"/>
  <c r="AC18"/>
  <c r="Y95"/>
  <c r="Y94"/>
  <c r="Y93"/>
  <c r="Y92"/>
  <c r="Y91"/>
  <c r="Y90"/>
  <c r="Y89"/>
  <c r="Y88"/>
  <c r="Y87"/>
  <c r="Y86"/>
  <c r="Y85"/>
  <c r="Y84"/>
  <c r="Y83"/>
  <c r="Y82"/>
  <c r="Y81"/>
  <c r="Y80"/>
  <c r="Y79"/>
  <c r="Y78"/>
  <c r="Y77"/>
  <c r="Y76"/>
  <c r="Y75"/>
  <c r="Y74"/>
  <c r="AM74" s="1"/>
  <c r="Y73"/>
  <c r="AM73" s="1"/>
  <c r="Y72"/>
  <c r="AM72" s="1"/>
  <c r="Y71"/>
  <c r="Y70"/>
  <c r="AM70" s="1"/>
  <c r="Y69"/>
  <c r="AM69" s="1"/>
  <c r="Y68"/>
  <c r="AM68" s="1"/>
  <c r="Y67"/>
  <c r="Y66"/>
  <c r="AM66" s="1"/>
  <c r="Y65"/>
  <c r="AM65" s="1"/>
  <c r="Y64"/>
  <c r="AM64" s="1"/>
  <c r="Y63"/>
  <c r="Y62"/>
  <c r="AM62" s="1"/>
  <c r="Y61"/>
  <c r="AM61" s="1"/>
  <c r="Y60"/>
  <c r="AM60" s="1"/>
  <c r="Y59"/>
  <c r="Y58"/>
  <c r="AM58" s="1"/>
  <c r="Y57"/>
  <c r="AM57" s="1"/>
  <c r="Y56"/>
  <c r="AM56" s="1"/>
  <c r="Y55"/>
  <c r="Y54"/>
  <c r="AM54" s="1"/>
  <c r="Y53"/>
  <c r="AM53" s="1"/>
  <c r="Y52"/>
  <c r="AM52" s="1"/>
  <c r="Y51"/>
  <c r="Y50"/>
  <c r="AM50" s="1"/>
  <c r="Y49"/>
  <c r="AM49" s="1"/>
  <c r="Y48"/>
  <c r="AM48" s="1"/>
  <c r="Y47"/>
  <c r="Y46"/>
  <c r="AM46" s="1"/>
  <c r="Y45"/>
  <c r="AM45" s="1"/>
  <c r="Y44"/>
  <c r="AM44" s="1"/>
  <c r="Y43"/>
  <c r="Y42"/>
  <c r="AM42" s="1"/>
  <c r="Y41"/>
  <c r="AM41" s="1"/>
  <c r="Y40"/>
  <c r="AM40" s="1"/>
  <c r="Y39"/>
  <c r="Y38"/>
  <c r="AM38" s="1"/>
  <c r="Y37"/>
  <c r="AM37" s="1"/>
  <c r="Y36"/>
  <c r="AM36" s="1"/>
  <c r="Y35"/>
  <c r="Y34"/>
  <c r="AM34" s="1"/>
  <c r="Y33"/>
  <c r="AM33" s="1"/>
  <c r="Y32"/>
  <c r="AM32" s="1"/>
  <c r="Y31"/>
  <c r="Y30"/>
  <c r="AM30" s="1"/>
  <c r="Y29"/>
  <c r="AM29" s="1"/>
  <c r="Y28"/>
  <c r="AM28" s="1"/>
  <c r="Y27"/>
  <c r="Y26"/>
  <c r="AM26" s="1"/>
  <c r="Y25"/>
  <c r="AM25" s="1"/>
  <c r="Y24"/>
  <c r="AM24" s="1"/>
  <c r="Y23"/>
  <c r="Y22"/>
  <c r="AM22" s="1"/>
  <c r="Y21"/>
  <c r="AM21" s="1"/>
  <c r="Y20"/>
  <c r="AM20" s="1"/>
  <c r="Y19"/>
  <c r="Y18"/>
  <c r="AM18" s="1"/>
  <c r="AM75"/>
  <c r="AM71"/>
  <c r="AM67"/>
  <c r="AM63"/>
  <c r="AM59"/>
  <c r="AM55"/>
  <c r="AM51"/>
  <c r="AM47"/>
  <c r="AM43"/>
  <c r="AM39"/>
  <c r="AM35"/>
  <c r="AM31"/>
  <c r="AM27"/>
  <c r="AM23"/>
  <c r="AM19"/>
  <c r="AJ95"/>
  <c r="AJ94"/>
  <c r="AJ93"/>
  <c r="AJ92"/>
  <c r="AJ91"/>
  <c r="AJ90"/>
  <c r="AJ89"/>
  <c r="AJ88"/>
  <c r="AJ87"/>
  <c r="AJ86"/>
  <c r="AJ85"/>
  <c r="AJ84"/>
  <c r="AJ83"/>
  <c r="AJ82"/>
  <c r="AJ81"/>
  <c r="AJ80"/>
  <c r="AJ79"/>
  <c r="AJ78"/>
  <c r="AJ77"/>
  <c r="AJ76"/>
  <c r="AJ75"/>
  <c r="AJ74"/>
  <c r="AJ73"/>
  <c r="AJ72"/>
  <c r="AJ71"/>
  <c r="AJ70"/>
  <c r="AJ69"/>
  <c r="AJ68"/>
  <c r="AJ67"/>
  <c r="AJ66"/>
  <c r="AJ65"/>
  <c r="AJ64"/>
  <c r="AJ63"/>
  <c r="AJ62"/>
  <c r="AJ61"/>
  <c r="AJ60"/>
  <c r="AJ59"/>
  <c r="AJ58"/>
  <c r="AJ57"/>
  <c r="AJ56"/>
  <c r="AJ55"/>
  <c r="AJ54"/>
  <c r="AJ53"/>
  <c r="AJ52"/>
  <c r="AJ51"/>
  <c r="AJ50"/>
  <c r="AJ49"/>
  <c r="AJ48"/>
  <c r="AJ47"/>
  <c r="AJ46"/>
  <c r="AJ45"/>
  <c r="AJ44"/>
  <c r="AJ43"/>
  <c r="AJ42"/>
  <c r="AJ41"/>
  <c r="AJ40"/>
  <c r="AJ39"/>
  <c r="AJ38"/>
  <c r="AJ37"/>
  <c r="AJ36"/>
  <c r="AJ35"/>
  <c r="AJ34"/>
  <c r="AJ33"/>
  <c r="AJ32"/>
  <c r="AJ31"/>
  <c r="AJ30"/>
  <c r="AJ29"/>
  <c r="AJ28"/>
  <c r="AJ27"/>
  <c r="AJ26"/>
  <c r="AJ25"/>
  <c r="AJ24"/>
  <c r="AJ23"/>
  <c r="AJ22"/>
  <c r="AJ21"/>
  <c r="AJ20"/>
  <c r="AJ19"/>
  <c r="AJ18"/>
  <c r="AJ17"/>
  <c r="AJ16"/>
  <c r="AJ15"/>
  <c r="AJ14"/>
  <c r="AJ13"/>
  <c r="AJ12"/>
  <c r="AJ11"/>
  <c r="AJ10"/>
  <c r="AJ9"/>
  <c r="AJ8"/>
  <c r="AJ7"/>
  <c r="AI5"/>
  <c r="AH5"/>
  <c r="AF95"/>
  <c r="AF94"/>
  <c r="AF93"/>
  <c r="AF92"/>
  <c r="AF91"/>
  <c r="AF90"/>
  <c r="AF89"/>
  <c r="AF88"/>
  <c r="AF87"/>
  <c r="AF86"/>
  <c r="AF85"/>
  <c r="AF84"/>
  <c r="AF83"/>
  <c r="AF82"/>
  <c r="AF81"/>
  <c r="AF80"/>
  <c r="AF79"/>
  <c r="AF78"/>
  <c r="AF77"/>
  <c r="AF76"/>
  <c r="AF75"/>
  <c r="AF74"/>
  <c r="AF73"/>
  <c r="AF72"/>
  <c r="AF71"/>
  <c r="AF70"/>
  <c r="AF69"/>
  <c r="AF68"/>
  <c r="AF67"/>
  <c r="AF66"/>
  <c r="AF65"/>
  <c r="AF64"/>
  <c r="AF63"/>
  <c r="AF62"/>
  <c r="AF61"/>
  <c r="AF60"/>
  <c r="AF59"/>
  <c r="AF58"/>
  <c r="AF57"/>
  <c r="AF56"/>
  <c r="AF55"/>
  <c r="AF54"/>
  <c r="AF53"/>
  <c r="AF52"/>
  <c r="AF51"/>
  <c r="AF50"/>
  <c r="AF49"/>
  <c r="AF48"/>
  <c r="AF47"/>
  <c r="AF46"/>
  <c r="AF45"/>
  <c r="AF44"/>
  <c r="AF43"/>
  <c r="AF42"/>
  <c r="AF41"/>
  <c r="AF40"/>
  <c r="AF39"/>
  <c r="AF38"/>
  <c r="AF37"/>
  <c r="AF36"/>
  <c r="AF35"/>
  <c r="AF34"/>
  <c r="AF33"/>
  <c r="AF32"/>
  <c r="AF31"/>
  <c r="AF30"/>
  <c r="AF29"/>
  <c r="AF28"/>
  <c r="AF27"/>
  <c r="AF26"/>
  <c r="AF25"/>
  <c r="AF24"/>
  <c r="AF23"/>
  <c r="AF22"/>
  <c r="AF21"/>
  <c r="AF20"/>
  <c r="AF19"/>
  <c r="AF18"/>
  <c r="AE5"/>
  <c r="AD5"/>
  <c r="AB95"/>
  <c r="AB94"/>
  <c r="AB93"/>
  <c r="AB92"/>
  <c r="AB91"/>
  <c r="AB90"/>
  <c r="AB89"/>
  <c r="AB88"/>
  <c r="AB87"/>
  <c r="AB86"/>
  <c r="AB85"/>
  <c r="AB84"/>
  <c r="AB83"/>
  <c r="AB82"/>
  <c r="AB81"/>
  <c r="AB80"/>
  <c r="AB79"/>
  <c r="AB78"/>
  <c r="AB77"/>
  <c r="AB76"/>
  <c r="AB75"/>
  <c r="AB74"/>
  <c r="AB73"/>
  <c r="AB72"/>
  <c r="AB71"/>
  <c r="AB70"/>
  <c r="AB69"/>
  <c r="AB68"/>
  <c r="AB67"/>
  <c r="AB66"/>
  <c r="AB65"/>
  <c r="AB64"/>
  <c r="AB63"/>
  <c r="AB62"/>
  <c r="AB61"/>
  <c r="AB60"/>
  <c r="AB59"/>
  <c r="AB58"/>
  <c r="AB57"/>
  <c r="AB56"/>
  <c r="AB55"/>
  <c r="AB54"/>
  <c r="AB53"/>
  <c r="AB52"/>
  <c r="AB51"/>
  <c r="AB50"/>
  <c r="AB49"/>
  <c r="AB48"/>
  <c r="AB47"/>
  <c r="AB46"/>
  <c r="AB45"/>
  <c r="AB44"/>
  <c r="AB43"/>
  <c r="AB42"/>
  <c r="AB41"/>
  <c r="AB40"/>
  <c r="AB39"/>
  <c r="AB38"/>
  <c r="AB37"/>
  <c r="AB36"/>
  <c r="AB35"/>
  <c r="AB34"/>
  <c r="AB33"/>
  <c r="AB32"/>
  <c r="AB31"/>
  <c r="AB30"/>
  <c r="AB29"/>
  <c r="AB28"/>
  <c r="AB27"/>
  <c r="AB26"/>
  <c r="AB25"/>
  <c r="AB24"/>
  <c r="AB23"/>
  <c r="AB22"/>
  <c r="AB21"/>
  <c r="AB20"/>
  <c r="AB19"/>
  <c r="AB18"/>
  <c r="AA5"/>
  <c r="Z5"/>
  <c r="X95"/>
  <c r="X94"/>
  <c r="X93"/>
  <c r="X92"/>
  <c r="X91"/>
  <c r="X90"/>
  <c r="X89"/>
  <c r="X88"/>
  <c r="X87"/>
  <c r="X86"/>
  <c r="X85"/>
  <c r="X84"/>
  <c r="X83"/>
  <c r="X82"/>
  <c r="X81"/>
  <c r="X80"/>
  <c r="X79"/>
  <c r="X78"/>
  <c r="X77"/>
  <c r="X76"/>
  <c r="X75"/>
  <c r="X74"/>
  <c r="X73"/>
  <c r="X72"/>
  <c r="X71"/>
  <c r="X70"/>
  <c r="X69"/>
  <c r="X68"/>
  <c r="X67"/>
  <c r="X66"/>
  <c r="X65"/>
  <c r="X64"/>
  <c r="X63"/>
  <c r="X62"/>
  <c r="X61"/>
  <c r="X60"/>
  <c r="X59"/>
  <c r="X58"/>
  <c r="X57"/>
  <c r="X56"/>
  <c r="X55"/>
  <c r="X54"/>
  <c r="X53"/>
  <c r="X52"/>
  <c r="X51"/>
  <c r="X50"/>
  <c r="X49"/>
  <c r="X48"/>
  <c r="X47"/>
  <c r="X46"/>
  <c r="X45"/>
  <c r="X44"/>
  <c r="X43"/>
  <c r="X42"/>
  <c r="X4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W5"/>
  <c r="T17" l="1"/>
  <c r="T16" s="1"/>
  <c r="T15" s="1"/>
  <c r="T14" s="1"/>
  <c r="T13" s="1"/>
  <c r="T12" s="1"/>
  <c r="T11" s="1"/>
  <c r="T10" s="1"/>
  <c r="T9" s="1"/>
  <c r="T8" s="1"/>
  <c r="T7" s="1"/>
  <c r="T95"/>
  <c r="T94"/>
  <c r="L80"/>
  <c r="P80" s="1"/>
  <c r="L68"/>
  <c r="P68" s="1"/>
  <c r="K95"/>
  <c r="L95" s="1"/>
  <c r="P95" s="1"/>
  <c r="K94"/>
  <c r="K93"/>
  <c r="K92"/>
  <c r="L92" s="1"/>
  <c r="P92" s="1"/>
  <c r="K91"/>
  <c r="L91" s="1"/>
  <c r="P91" s="1"/>
  <c r="K90"/>
  <c r="K89"/>
  <c r="K88"/>
  <c r="L88" s="1"/>
  <c r="P88" s="1"/>
  <c r="K87"/>
  <c r="L87" s="1"/>
  <c r="P87" s="1"/>
  <c r="K86"/>
  <c r="K85"/>
  <c r="K84"/>
  <c r="L84" s="1"/>
  <c r="P84" s="1"/>
  <c r="K83"/>
  <c r="L83" s="1"/>
  <c r="P83" s="1"/>
  <c r="K82"/>
  <c r="K81"/>
  <c r="K80"/>
  <c r="K79"/>
  <c r="L79" s="1"/>
  <c r="P79" s="1"/>
  <c r="K78"/>
  <c r="K77"/>
  <c r="K76"/>
  <c r="L76" s="1"/>
  <c r="P76" s="1"/>
  <c r="K75"/>
  <c r="L75" s="1"/>
  <c r="P75" s="1"/>
  <c r="K74"/>
  <c r="K73"/>
  <c r="K72"/>
  <c r="L72" s="1"/>
  <c r="P72" s="1"/>
  <c r="K71"/>
  <c r="L71" s="1"/>
  <c r="P71" s="1"/>
  <c r="K70"/>
  <c r="K69"/>
  <c r="K67"/>
  <c r="L67" s="1"/>
  <c r="P67" s="1"/>
  <c r="K66"/>
  <c r="L66" s="1"/>
  <c r="P66" s="1"/>
  <c r="K65"/>
  <c r="K64"/>
  <c r="K63"/>
  <c r="L63" s="1"/>
  <c r="P63" s="1"/>
  <c r="K62"/>
  <c r="L62" s="1"/>
  <c r="P62" s="1"/>
  <c r="K61"/>
  <c r="K60"/>
  <c r="K59"/>
  <c r="K58"/>
  <c r="L58" s="1"/>
  <c r="P58" s="1"/>
  <c r="K57"/>
  <c r="K56"/>
  <c r="K55"/>
  <c r="K54"/>
  <c r="L54" s="1"/>
  <c r="P54" s="1"/>
  <c r="K53"/>
  <c r="K52"/>
  <c r="K51"/>
  <c r="K50"/>
  <c r="L50" s="1"/>
  <c r="P50" s="1"/>
  <c r="K49"/>
  <c r="K48"/>
  <c r="K47"/>
  <c r="K46"/>
  <c r="L46" s="1"/>
  <c r="P46" s="1"/>
  <c r="K45"/>
  <c r="K44"/>
  <c r="K43"/>
  <c r="K42"/>
  <c r="L42" s="1"/>
  <c r="P42" s="1"/>
  <c r="K41"/>
  <c r="K40"/>
  <c r="K39"/>
  <c r="K38"/>
  <c r="L38" s="1"/>
  <c r="P38" s="1"/>
  <c r="K37"/>
  <c r="K36"/>
  <c r="K35"/>
  <c r="K34"/>
  <c r="L34" s="1"/>
  <c r="P34" s="1"/>
  <c r="K33"/>
  <c r="K32"/>
  <c r="K31"/>
  <c r="K30"/>
  <c r="L30" s="1"/>
  <c r="P30" s="1"/>
  <c r="K29"/>
  <c r="K28"/>
  <c r="K27"/>
  <c r="K26"/>
  <c r="L26" s="1"/>
  <c r="P26" s="1"/>
  <c r="K25"/>
  <c r="K24"/>
  <c r="K23"/>
  <c r="K22"/>
  <c r="L22" s="1"/>
  <c r="P22" s="1"/>
  <c r="K21"/>
  <c r="K20"/>
  <c r="K19"/>
  <c r="K18"/>
  <c r="L18" s="1"/>
  <c r="P18" s="1"/>
  <c r="K17"/>
  <c r="K16"/>
  <c r="K15"/>
  <c r="K14"/>
  <c r="L14" s="1"/>
  <c r="P14" s="1"/>
  <c r="K13"/>
  <c r="K12"/>
  <c r="K11"/>
  <c r="K10"/>
  <c r="L10" s="1"/>
  <c r="P10" s="1"/>
  <c r="K9"/>
  <c r="K8"/>
  <c r="K7"/>
  <c r="K68"/>
  <c r="I95"/>
  <c r="I94"/>
  <c r="L94" s="1"/>
  <c r="P94" s="1"/>
  <c r="I93"/>
  <c r="L93" s="1"/>
  <c r="P93" s="1"/>
  <c r="I92"/>
  <c r="I91"/>
  <c r="I90"/>
  <c r="L90" s="1"/>
  <c r="P90" s="1"/>
  <c r="I89"/>
  <c r="L89" s="1"/>
  <c r="P89" s="1"/>
  <c r="I88"/>
  <c r="I87"/>
  <c r="I86"/>
  <c r="L86" s="1"/>
  <c r="P86" s="1"/>
  <c r="I85"/>
  <c r="L85" s="1"/>
  <c r="P85" s="1"/>
  <c r="I84"/>
  <c r="I83"/>
  <c r="I82"/>
  <c r="L82" s="1"/>
  <c r="P82" s="1"/>
  <c r="I81"/>
  <c r="L81" s="1"/>
  <c r="P81" s="1"/>
  <c r="I80"/>
  <c r="I79"/>
  <c r="I78"/>
  <c r="L78" s="1"/>
  <c r="P78" s="1"/>
  <c r="I77"/>
  <c r="L77" s="1"/>
  <c r="P77" s="1"/>
  <c r="I76"/>
  <c r="I75"/>
  <c r="I74"/>
  <c r="L74" s="1"/>
  <c r="P74" s="1"/>
  <c r="I73"/>
  <c r="L73" s="1"/>
  <c r="P73" s="1"/>
  <c r="I72"/>
  <c r="I71"/>
  <c r="I70"/>
  <c r="L70" s="1"/>
  <c r="P70" s="1"/>
  <c r="I69"/>
  <c r="L69" s="1"/>
  <c r="P69" s="1"/>
  <c r="I67"/>
  <c r="I66"/>
  <c r="I65"/>
  <c r="L65" s="1"/>
  <c r="P65" s="1"/>
  <c r="I64"/>
  <c r="L64" s="1"/>
  <c r="P64" s="1"/>
  <c r="I61"/>
  <c r="L61" s="1"/>
  <c r="P61" s="1"/>
  <c r="I55"/>
  <c r="L55" s="1"/>
  <c r="P55" s="1"/>
  <c r="I53"/>
  <c r="L53" s="1"/>
  <c r="P53" s="1"/>
  <c r="I47"/>
  <c r="L47" s="1"/>
  <c r="P47" s="1"/>
  <c r="I45"/>
  <c r="L45" s="1"/>
  <c r="P45" s="1"/>
  <c r="I39"/>
  <c r="L39" s="1"/>
  <c r="P39" s="1"/>
  <c r="I37"/>
  <c r="L37" s="1"/>
  <c r="P37" s="1"/>
  <c r="I31"/>
  <c r="L31" s="1"/>
  <c r="P31" s="1"/>
  <c r="I29"/>
  <c r="L29" s="1"/>
  <c r="P29" s="1"/>
  <c r="I23"/>
  <c r="L23" s="1"/>
  <c r="P23" s="1"/>
  <c r="I21"/>
  <c r="L21" s="1"/>
  <c r="P21" s="1"/>
  <c r="I15"/>
  <c r="L15" s="1"/>
  <c r="P15" s="1"/>
  <c r="I13"/>
  <c r="L13" s="1"/>
  <c r="P13" s="1"/>
  <c r="I7"/>
  <c r="L7" s="1"/>
  <c r="P7" s="1"/>
  <c r="I68"/>
  <c r="H62"/>
  <c r="I62" s="1"/>
  <c r="H61"/>
  <c r="H60"/>
  <c r="I60" s="1"/>
  <c r="L60" s="1"/>
  <c r="P60" s="1"/>
  <c r="H59"/>
  <c r="I59" s="1"/>
  <c r="L59" s="1"/>
  <c r="P59" s="1"/>
  <c r="H58"/>
  <c r="I58" s="1"/>
  <c r="H57"/>
  <c r="I57" s="1"/>
  <c r="L57" s="1"/>
  <c r="P57" s="1"/>
  <c r="H56"/>
  <c r="I56" s="1"/>
  <c r="L56" s="1"/>
  <c r="P56" s="1"/>
  <c r="H55"/>
  <c r="H54"/>
  <c r="I54" s="1"/>
  <c r="H53"/>
  <c r="H52"/>
  <c r="I52" s="1"/>
  <c r="L52" s="1"/>
  <c r="P52" s="1"/>
  <c r="H51"/>
  <c r="I51" s="1"/>
  <c r="L51" s="1"/>
  <c r="P51" s="1"/>
  <c r="H50"/>
  <c r="I50" s="1"/>
  <c r="H49"/>
  <c r="I49" s="1"/>
  <c r="L49" s="1"/>
  <c r="P49" s="1"/>
  <c r="H48"/>
  <c r="I48" s="1"/>
  <c r="L48" s="1"/>
  <c r="P48" s="1"/>
  <c r="H47"/>
  <c r="H46"/>
  <c r="I46" s="1"/>
  <c r="H45"/>
  <c r="H44"/>
  <c r="I44" s="1"/>
  <c r="L44" s="1"/>
  <c r="P44" s="1"/>
  <c r="H43"/>
  <c r="I43" s="1"/>
  <c r="L43" s="1"/>
  <c r="P43" s="1"/>
  <c r="H42"/>
  <c r="I42" s="1"/>
  <c r="H41"/>
  <c r="I41" s="1"/>
  <c r="L41" s="1"/>
  <c r="P41" s="1"/>
  <c r="H40"/>
  <c r="I40" s="1"/>
  <c r="L40" s="1"/>
  <c r="P40" s="1"/>
  <c r="H39"/>
  <c r="H38"/>
  <c r="I38" s="1"/>
  <c r="H37"/>
  <c r="H36"/>
  <c r="I36" s="1"/>
  <c r="L36" s="1"/>
  <c r="P36" s="1"/>
  <c r="H35"/>
  <c r="I35" s="1"/>
  <c r="L35" s="1"/>
  <c r="P35" s="1"/>
  <c r="H34"/>
  <c r="I34" s="1"/>
  <c r="H33"/>
  <c r="I33" s="1"/>
  <c r="L33" s="1"/>
  <c r="P33" s="1"/>
  <c r="H32"/>
  <c r="I32" s="1"/>
  <c r="L32" s="1"/>
  <c r="P32" s="1"/>
  <c r="H31"/>
  <c r="H30"/>
  <c r="I30" s="1"/>
  <c r="H29"/>
  <c r="H28"/>
  <c r="I28" s="1"/>
  <c r="L28" s="1"/>
  <c r="P28" s="1"/>
  <c r="H27"/>
  <c r="I27" s="1"/>
  <c r="L27" s="1"/>
  <c r="P27" s="1"/>
  <c r="H26"/>
  <c r="I26" s="1"/>
  <c r="H25"/>
  <c r="I25" s="1"/>
  <c r="L25" s="1"/>
  <c r="P25" s="1"/>
  <c r="H24"/>
  <c r="I24" s="1"/>
  <c r="L24" s="1"/>
  <c r="P24" s="1"/>
  <c r="H23"/>
  <c r="H22"/>
  <c r="I22" s="1"/>
  <c r="H21"/>
  <c r="H20"/>
  <c r="I20" s="1"/>
  <c r="L20" s="1"/>
  <c r="P20" s="1"/>
  <c r="H19"/>
  <c r="I19" s="1"/>
  <c r="L19" s="1"/>
  <c r="P19" s="1"/>
  <c r="H18"/>
  <c r="I18" s="1"/>
  <c r="H17"/>
  <c r="I17" s="1"/>
  <c r="L17" s="1"/>
  <c r="P17" s="1"/>
  <c r="H16"/>
  <c r="I16" s="1"/>
  <c r="L16" s="1"/>
  <c r="P16" s="1"/>
  <c r="H15"/>
  <c r="H14"/>
  <c r="I14" s="1"/>
  <c r="H13"/>
  <c r="H12"/>
  <c r="I12" s="1"/>
  <c r="L12" s="1"/>
  <c r="P12" s="1"/>
  <c r="H11"/>
  <c r="I11" s="1"/>
  <c r="L11" s="1"/>
  <c r="P11" s="1"/>
  <c r="H10"/>
  <c r="I10" s="1"/>
  <c r="H9"/>
  <c r="I9" s="1"/>
  <c r="L9" s="1"/>
  <c r="P9" s="1"/>
  <c r="H8"/>
  <c r="I8" s="1"/>
  <c r="L8" s="1"/>
  <c r="P8" s="1"/>
  <c r="H7"/>
  <c r="H63"/>
  <c r="I63" s="1"/>
  <c r="R95" l="1"/>
  <c r="Q95"/>
  <c r="A77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76"/>
  <c r="Q63"/>
  <c r="R63"/>
  <c r="A60"/>
  <c r="A59" s="1"/>
  <c r="A58" s="1"/>
  <c r="A57" s="1"/>
  <c r="A56" s="1"/>
  <c r="A55" s="1"/>
  <c r="A54" s="1"/>
  <c r="A53" s="1"/>
  <c r="A52" s="1"/>
  <c r="A51" s="1"/>
  <c r="A50" s="1"/>
  <c r="A49" s="1"/>
  <c r="A48" s="1"/>
  <c r="A47" s="1"/>
  <c r="A46" s="1"/>
  <c r="A45" s="1"/>
  <c r="A44" s="1"/>
  <c r="A43" s="1"/>
  <c r="A42" s="1"/>
  <c r="A41" s="1"/>
  <c r="A40" s="1"/>
  <c r="A39" s="1"/>
  <c r="A38" s="1"/>
  <c r="A37" s="1"/>
  <c r="A36" s="1"/>
  <c r="A35" s="1"/>
  <c r="A34" s="1"/>
  <c r="A33" s="1"/>
  <c r="A32" s="1"/>
  <c r="A31" s="1"/>
  <c r="A30" s="1"/>
  <c r="A29" s="1"/>
  <c r="A28" s="1"/>
  <c r="A27" s="1"/>
  <c r="A26" s="1"/>
  <c r="A25" s="1"/>
  <c r="A24" s="1"/>
  <c r="A23" s="1"/>
  <c r="A22" s="1"/>
  <c r="A21" s="1"/>
  <c r="A20" s="1"/>
  <c r="A19" s="1"/>
  <c r="A18" s="1"/>
  <c r="A17" s="1"/>
  <c r="A16" s="1"/>
  <c r="A15" s="1"/>
  <c r="A14" s="1"/>
  <c r="A13" s="1"/>
  <c r="A12" s="1"/>
  <c r="A11" s="1"/>
  <c r="A10" s="1"/>
  <c r="A9" s="1"/>
  <c r="A8" s="1"/>
  <c r="A7" s="1"/>
  <c r="S5"/>
  <c r="AH73" s="1"/>
  <c r="AI73" s="1"/>
  <c r="O5"/>
  <c r="N5"/>
  <c r="AC62" i="5"/>
  <c r="AD62" s="1"/>
  <c r="AD61"/>
  <c r="AC61"/>
  <c r="AC60"/>
  <c r="AD60" s="1"/>
  <c r="AD59"/>
  <c r="AC59"/>
  <c r="AC58"/>
  <c r="AD58" s="1"/>
  <c r="AD57"/>
  <c r="AC57"/>
  <c r="AC56"/>
  <c r="AD56" s="1"/>
  <c r="AD55"/>
  <c r="AC55"/>
  <c r="AC54"/>
  <c r="AD54" s="1"/>
  <c r="AD53"/>
  <c r="AC53"/>
  <c r="AC52"/>
  <c r="AD52" s="1"/>
  <c r="AD51"/>
  <c r="AC51"/>
  <c r="AC50"/>
  <c r="AD50" s="1"/>
  <c r="AD49"/>
  <c r="AC49"/>
  <c r="AC48"/>
  <c r="AD48" s="1"/>
  <c r="AD47"/>
  <c r="AC47"/>
  <c r="AC46"/>
  <c r="AD46" s="1"/>
  <c r="AD45"/>
  <c r="AC45"/>
  <c r="AC44"/>
  <c r="AD44" s="1"/>
  <c r="AD43"/>
  <c r="AC43"/>
  <c r="AC42"/>
  <c r="AD42" s="1"/>
  <c r="AD41"/>
  <c r="AC41"/>
  <c r="AC40"/>
  <c r="AD40" s="1"/>
  <c r="AD39"/>
  <c r="AC39"/>
  <c r="AC38"/>
  <c r="AD38" s="1"/>
  <c r="AD37"/>
  <c r="AC37"/>
  <c r="AC36"/>
  <c r="AD36" s="1"/>
  <c r="AD35"/>
  <c r="AC35"/>
  <c r="AC34"/>
  <c r="AD34" s="1"/>
  <c r="AD33"/>
  <c r="AC33"/>
  <c r="AC32"/>
  <c r="AD32" s="1"/>
  <c r="AD31"/>
  <c r="AC31"/>
  <c r="AC30"/>
  <c r="AD30" s="1"/>
  <c r="AD29"/>
  <c r="AC29"/>
  <c r="AC28"/>
  <c r="AD28" s="1"/>
  <c r="AD27"/>
  <c r="AC27"/>
  <c r="AC26"/>
  <c r="AD26" s="1"/>
  <c r="AD25"/>
  <c r="AC25"/>
  <c r="AC24"/>
  <c r="AD24" s="1"/>
  <c r="AD23"/>
  <c r="AC23"/>
  <c r="AC22"/>
  <c r="AD22" s="1"/>
  <c r="AD21"/>
  <c r="AC21"/>
  <c r="AC20"/>
  <c r="AD20" s="1"/>
  <c r="AD19"/>
  <c r="AC19"/>
  <c r="AC18"/>
  <c r="AD18" s="1"/>
  <c r="AD17"/>
  <c r="AC17"/>
  <c r="AC16"/>
  <c r="AD16" s="1"/>
  <c r="AD15"/>
  <c r="AC15"/>
  <c r="AC14"/>
  <c r="AD14" s="1"/>
  <c r="AD13"/>
  <c r="AC13"/>
  <c r="AC12"/>
  <c r="AD12" s="1"/>
  <c r="AD11"/>
  <c r="AC11"/>
  <c r="AC10"/>
  <c r="AD10" s="1"/>
  <c r="AD9"/>
  <c r="AC9"/>
  <c r="AC8"/>
  <c r="AD8" s="1"/>
  <c r="AD7"/>
  <c r="AC7"/>
  <c r="AD101"/>
  <c r="AC101"/>
  <c r="AC100"/>
  <c r="AD100" s="1"/>
  <c r="AD99"/>
  <c r="AC99"/>
  <c r="AC98"/>
  <c r="AD98" s="1"/>
  <c r="AD97"/>
  <c r="AC97"/>
  <c r="AC96"/>
  <c r="AD96" s="1"/>
  <c r="AD95"/>
  <c r="AC95"/>
  <c r="AC94"/>
  <c r="AD94" s="1"/>
  <c r="AD93"/>
  <c r="AC93"/>
  <c r="AC92"/>
  <c r="AD92" s="1"/>
  <c r="AD91"/>
  <c r="AC91"/>
  <c r="AC90"/>
  <c r="AD90" s="1"/>
  <c r="AD89"/>
  <c r="AC89"/>
  <c r="AC88"/>
  <c r="AD88" s="1"/>
  <c r="AD87"/>
  <c r="AC87"/>
  <c r="AC86"/>
  <c r="AD86" s="1"/>
  <c r="AD85"/>
  <c r="AC85"/>
  <c r="AC84"/>
  <c r="AD84" s="1"/>
  <c r="AD83"/>
  <c r="AC83"/>
  <c r="AC82"/>
  <c r="AD82" s="1"/>
  <c r="AD81"/>
  <c r="AC81"/>
  <c r="AC80"/>
  <c r="AD80" s="1"/>
  <c r="AD79"/>
  <c r="AC79"/>
  <c r="AC78"/>
  <c r="AD78" s="1"/>
  <c r="AD77"/>
  <c r="AC77"/>
  <c r="AC76"/>
  <c r="AD76" s="1"/>
  <c r="AD75"/>
  <c r="AC75"/>
  <c r="AC74"/>
  <c r="AD74" s="1"/>
  <c r="AD73"/>
  <c r="AC73"/>
  <c r="AC72"/>
  <c r="AD72" s="1"/>
  <c r="AD71"/>
  <c r="AC71"/>
  <c r="AC70"/>
  <c r="AD70" s="1"/>
  <c r="AD69"/>
  <c r="AC69"/>
  <c r="AC68"/>
  <c r="AD68" s="1"/>
  <c r="AD67"/>
  <c r="AC67"/>
  <c r="AC66"/>
  <c r="AD66" s="1"/>
  <c r="AD65"/>
  <c r="AC65"/>
  <c r="AC64"/>
  <c r="AD64" s="1"/>
  <c r="AC63"/>
  <c r="Y62"/>
  <c r="Z62" s="1"/>
  <c r="Z61"/>
  <c r="Y61"/>
  <c r="Y60"/>
  <c r="Z60" s="1"/>
  <c r="Z59"/>
  <c r="Y59"/>
  <c r="Y58"/>
  <c r="Z58" s="1"/>
  <c r="Z57"/>
  <c r="Y57"/>
  <c r="Y56"/>
  <c r="Z56" s="1"/>
  <c r="Z55"/>
  <c r="Y55"/>
  <c r="Y54"/>
  <c r="Z54" s="1"/>
  <c r="Z53"/>
  <c r="Y53"/>
  <c r="Y52"/>
  <c r="Z52" s="1"/>
  <c r="Z51"/>
  <c r="Y51"/>
  <c r="Y50"/>
  <c r="Z50" s="1"/>
  <c r="Z49"/>
  <c r="Y49"/>
  <c r="Y48"/>
  <c r="Z48" s="1"/>
  <c r="Z47"/>
  <c r="Y47"/>
  <c r="Y46"/>
  <c r="Z46" s="1"/>
  <c r="Z45"/>
  <c r="Y45"/>
  <c r="Y44"/>
  <c r="Z44" s="1"/>
  <c r="Z43"/>
  <c r="Y43"/>
  <c r="Y42"/>
  <c r="Z42" s="1"/>
  <c r="Z41"/>
  <c r="Y41"/>
  <c r="Y40"/>
  <c r="Z40" s="1"/>
  <c r="Z39"/>
  <c r="Y39"/>
  <c r="Y38"/>
  <c r="Z38" s="1"/>
  <c r="Z37"/>
  <c r="Y37"/>
  <c r="Y36"/>
  <c r="Z36" s="1"/>
  <c r="Z35"/>
  <c r="Y35"/>
  <c r="Y34"/>
  <c r="Z34" s="1"/>
  <c r="Z33"/>
  <c r="Y33"/>
  <c r="Y32"/>
  <c r="Z32" s="1"/>
  <c r="Z31"/>
  <c r="Y31"/>
  <c r="Y30"/>
  <c r="Z30" s="1"/>
  <c r="Z29"/>
  <c r="Y29"/>
  <c r="Y28"/>
  <c r="Z28" s="1"/>
  <c r="Z27"/>
  <c r="Y27"/>
  <c r="Y26"/>
  <c r="Z26" s="1"/>
  <c r="Z25"/>
  <c r="Y25"/>
  <c r="Y24"/>
  <c r="Z24" s="1"/>
  <c r="Z23"/>
  <c r="Y23"/>
  <c r="Y22"/>
  <c r="Z22" s="1"/>
  <c r="Z21"/>
  <c r="Y21"/>
  <c r="Y20"/>
  <c r="Z20" s="1"/>
  <c r="Z19"/>
  <c r="Y19"/>
  <c r="Y18"/>
  <c r="Z18" s="1"/>
  <c r="Z17"/>
  <c r="Y17"/>
  <c r="Y16"/>
  <c r="Z16" s="1"/>
  <c r="Z15"/>
  <c r="Y15"/>
  <c r="Y14"/>
  <c r="Z14" s="1"/>
  <c r="Z13"/>
  <c r="Y13"/>
  <c r="Y12"/>
  <c r="Z12" s="1"/>
  <c r="Z11"/>
  <c r="Y11"/>
  <c r="Y10"/>
  <c r="Z10" s="1"/>
  <c r="Z9"/>
  <c r="Y9"/>
  <c r="Y8"/>
  <c r="Z8" s="1"/>
  <c r="Z7"/>
  <c r="Y7"/>
  <c r="Y101"/>
  <c r="Z101" s="1"/>
  <c r="Z100"/>
  <c r="Y100"/>
  <c r="Y99"/>
  <c r="Z99" s="1"/>
  <c r="Z98"/>
  <c r="Y98"/>
  <c r="Y97"/>
  <c r="Z97" s="1"/>
  <c r="Z96"/>
  <c r="Y96"/>
  <c r="Y95"/>
  <c r="Z95" s="1"/>
  <c r="Z94"/>
  <c r="Y94"/>
  <c r="Y93"/>
  <c r="Z93" s="1"/>
  <c r="Z92"/>
  <c r="Y92"/>
  <c r="Y91"/>
  <c r="Z91" s="1"/>
  <c r="Z90"/>
  <c r="Y90"/>
  <c r="Y89"/>
  <c r="Z89" s="1"/>
  <c r="Z88"/>
  <c r="Y88"/>
  <c r="Y87"/>
  <c r="Z87" s="1"/>
  <c r="Z86"/>
  <c r="Y86"/>
  <c r="Y85"/>
  <c r="Z85" s="1"/>
  <c r="Z84"/>
  <c r="Y84"/>
  <c r="Y83"/>
  <c r="Z83" s="1"/>
  <c r="Z82"/>
  <c r="Y82"/>
  <c r="Y81"/>
  <c r="Z81" s="1"/>
  <c r="Z80"/>
  <c r="Y80"/>
  <c r="Y79"/>
  <c r="Z79" s="1"/>
  <c r="Z78"/>
  <c r="Y78"/>
  <c r="Y77"/>
  <c r="Z77" s="1"/>
  <c r="Z76"/>
  <c r="Y76"/>
  <c r="Y75"/>
  <c r="Z75" s="1"/>
  <c r="Z74"/>
  <c r="Y74"/>
  <c r="Y73"/>
  <c r="Z73" s="1"/>
  <c r="Z72"/>
  <c r="Y72"/>
  <c r="Y71"/>
  <c r="Z71" s="1"/>
  <c r="Z70"/>
  <c r="Y70"/>
  <c r="Y69"/>
  <c r="Z69" s="1"/>
  <c r="Z68"/>
  <c r="Y68"/>
  <c r="Y67"/>
  <c r="Z67" s="1"/>
  <c r="Z66"/>
  <c r="Y66"/>
  <c r="Y65"/>
  <c r="Z65" s="1"/>
  <c r="Z64"/>
  <c r="Y64"/>
  <c r="Y63"/>
  <c r="V62"/>
  <c r="U62"/>
  <c r="U61"/>
  <c r="V61" s="1"/>
  <c r="V60"/>
  <c r="U60"/>
  <c r="U59"/>
  <c r="V59" s="1"/>
  <c r="V58"/>
  <c r="U58"/>
  <c r="U57"/>
  <c r="V57" s="1"/>
  <c r="V56"/>
  <c r="U56"/>
  <c r="U55"/>
  <c r="V55" s="1"/>
  <c r="V54"/>
  <c r="U54"/>
  <c r="U53"/>
  <c r="V53" s="1"/>
  <c r="V52"/>
  <c r="U52"/>
  <c r="U51"/>
  <c r="V51" s="1"/>
  <c r="V50"/>
  <c r="U50"/>
  <c r="U49"/>
  <c r="V49" s="1"/>
  <c r="V48"/>
  <c r="U48"/>
  <c r="U47"/>
  <c r="V47" s="1"/>
  <c r="V46"/>
  <c r="U46"/>
  <c r="U45"/>
  <c r="V45" s="1"/>
  <c r="V44"/>
  <c r="U44"/>
  <c r="U43"/>
  <c r="V43" s="1"/>
  <c r="V42"/>
  <c r="U42"/>
  <c r="U41"/>
  <c r="V41" s="1"/>
  <c r="V40"/>
  <c r="U40"/>
  <c r="U39"/>
  <c r="V39" s="1"/>
  <c r="V38"/>
  <c r="U38"/>
  <c r="U37"/>
  <c r="V37" s="1"/>
  <c r="V36"/>
  <c r="U36"/>
  <c r="U35"/>
  <c r="V35" s="1"/>
  <c r="V34"/>
  <c r="U34"/>
  <c r="U33"/>
  <c r="V33" s="1"/>
  <c r="V32"/>
  <c r="U32"/>
  <c r="U31"/>
  <c r="V31" s="1"/>
  <c r="V30"/>
  <c r="U30"/>
  <c r="U29"/>
  <c r="V29" s="1"/>
  <c r="V28"/>
  <c r="U28"/>
  <c r="U27"/>
  <c r="V27" s="1"/>
  <c r="V26"/>
  <c r="U26"/>
  <c r="U25"/>
  <c r="V25" s="1"/>
  <c r="V24"/>
  <c r="U24"/>
  <c r="U23"/>
  <c r="V23" s="1"/>
  <c r="V22"/>
  <c r="U22"/>
  <c r="U21"/>
  <c r="V21" s="1"/>
  <c r="V20"/>
  <c r="U20"/>
  <c r="U19"/>
  <c r="V19" s="1"/>
  <c r="V18"/>
  <c r="U18"/>
  <c r="U17"/>
  <c r="V17" s="1"/>
  <c r="V16"/>
  <c r="U16"/>
  <c r="U15"/>
  <c r="V15" s="1"/>
  <c r="V14"/>
  <c r="U14"/>
  <c r="U13"/>
  <c r="V13" s="1"/>
  <c r="V12"/>
  <c r="U12"/>
  <c r="U11"/>
  <c r="V11" s="1"/>
  <c r="V10"/>
  <c r="U10"/>
  <c r="U9"/>
  <c r="V9" s="1"/>
  <c r="V8"/>
  <c r="U8"/>
  <c r="U7"/>
  <c r="V7" s="1"/>
  <c r="U101"/>
  <c r="V101" s="1"/>
  <c r="V100"/>
  <c r="U100"/>
  <c r="U99"/>
  <c r="V99" s="1"/>
  <c r="V98"/>
  <c r="U98"/>
  <c r="U97"/>
  <c r="V97" s="1"/>
  <c r="V96"/>
  <c r="U96"/>
  <c r="U95"/>
  <c r="V95" s="1"/>
  <c r="V94"/>
  <c r="U94"/>
  <c r="U93"/>
  <c r="V93" s="1"/>
  <c r="V92"/>
  <c r="U92"/>
  <c r="U91"/>
  <c r="V91" s="1"/>
  <c r="V90"/>
  <c r="U90"/>
  <c r="U89"/>
  <c r="V89" s="1"/>
  <c r="V88"/>
  <c r="U88"/>
  <c r="U87"/>
  <c r="V87" s="1"/>
  <c r="V86"/>
  <c r="U86"/>
  <c r="U85"/>
  <c r="V85" s="1"/>
  <c r="V84"/>
  <c r="U84"/>
  <c r="U83"/>
  <c r="V83" s="1"/>
  <c r="V82"/>
  <c r="U82"/>
  <c r="U81"/>
  <c r="V81" s="1"/>
  <c r="V80"/>
  <c r="U80"/>
  <c r="U79"/>
  <c r="V79" s="1"/>
  <c r="V78"/>
  <c r="U78"/>
  <c r="U77"/>
  <c r="V77" s="1"/>
  <c r="V76"/>
  <c r="U76"/>
  <c r="U75"/>
  <c r="V75" s="1"/>
  <c r="V74"/>
  <c r="U74"/>
  <c r="U73"/>
  <c r="V73" s="1"/>
  <c r="V72"/>
  <c r="U72"/>
  <c r="U71"/>
  <c r="V71" s="1"/>
  <c r="V70"/>
  <c r="U70"/>
  <c r="U69"/>
  <c r="V69" s="1"/>
  <c r="V68"/>
  <c r="U68"/>
  <c r="U67"/>
  <c r="V67" s="1"/>
  <c r="V66"/>
  <c r="U66"/>
  <c r="U65"/>
  <c r="V65" s="1"/>
  <c r="V64"/>
  <c r="U64"/>
  <c r="U63"/>
  <c r="R62"/>
  <c r="R61"/>
  <c r="R60"/>
  <c r="R59"/>
  <c r="R58"/>
  <c r="R57"/>
  <c r="R56"/>
  <c r="R55"/>
  <c r="R54"/>
  <c r="R53"/>
  <c r="R52"/>
  <c r="R51"/>
  <c r="R50"/>
  <c r="R49"/>
  <c r="R48"/>
  <c r="R47"/>
  <c r="R46"/>
  <c r="R45"/>
  <c r="R44"/>
  <c r="R43"/>
  <c r="R42"/>
  <c r="R41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R9"/>
  <c r="R8"/>
  <c r="R7"/>
  <c r="Q61"/>
  <c r="Q60"/>
  <c r="Q59"/>
  <c r="Q58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2"/>
  <c r="Q101"/>
  <c r="Q100"/>
  <c r="Q99"/>
  <c r="Q98"/>
  <c r="Q97"/>
  <c r="Q96"/>
  <c r="Q95"/>
  <c r="Q94"/>
  <c r="Q93"/>
  <c r="Q92"/>
  <c r="Q91"/>
  <c r="Q90"/>
  <c r="Q89"/>
  <c r="Q88"/>
  <c r="Q87"/>
  <c r="Q86"/>
  <c r="Q85"/>
  <c r="Q84"/>
  <c r="Q83"/>
  <c r="Q82"/>
  <c r="Q81"/>
  <c r="Q80"/>
  <c r="Q79"/>
  <c r="Q78"/>
  <c r="Q77"/>
  <c r="Q76"/>
  <c r="Q75"/>
  <c r="Q74"/>
  <c r="Q73"/>
  <c r="Q72"/>
  <c r="Q71"/>
  <c r="Q70"/>
  <c r="Q69"/>
  <c r="Q68"/>
  <c r="Q67"/>
  <c r="Q66"/>
  <c r="Q65"/>
  <c r="Q64"/>
  <c r="Q63"/>
  <c r="O5"/>
  <c r="N5"/>
  <c r="M5"/>
  <c r="L5"/>
  <c r="K5"/>
  <c r="J5"/>
  <c r="I5"/>
  <c r="O59"/>
  <c r="O58" s="1"/>
  <c r="O57" s="1"/>
  <c r="O56" s="1"/>
  <c r="O55" s="1"/>
  <c r="O54" s="1"/>
  <c r="O53" s="1"/>
  <c r="O52" s="1"/>
  <c r="O51" s="1"/>
  <c r="O50" s="1"/>
  <c r="O49" s="1"/>
  <c r="O48" s="1"/>
  <c r="O47" s="1"/>
  <c r="O46" s="1"/>
  <c r="O45" s="1"/>
  <c r="O44" s="1"/>
  <c r="O43" s="1"/>
  <c r="O42" s="1"/>
  <c r="O41" s="1"/>
  <c r="O40" s="1"/>
  <c r="O39" s="1"/>
  <c r="O38" s="1"/>
  <c r="O37" s="1"/>
  <c r="O36" s="1"/>
  <c r="O35" s="1"/>
  <c r="O34" s="1"/>
  <c r="O33" s="1"/>
  <c r="O32" s="1"/>
  <c r="O31" s="1"/>
  <c r="O30" s="1"/>
  <c r="O29" s="1"/>
  <c r="O28" s="1"/>
  <c r="O27" s="1"/>
  <c r="O26" s="1"/>
  <c r="O25" s="1"/>
  <c r="O24" s="1"/>
  <c r="O23" s="1"/>
  <c r="O22" s="1"/>
  <c r="O21" s="1"/>
  <c r="O20" s="1"/>
  <c r="O19" s="1"/>
  <c r="O18" s="1"/>
  <c r="O17" s="1"/>
  <c r="O16" s="1"/>
  <c r="O15" s="1"/>
  <c r="O14" s="1"/>
  <c r="O13" s="1"/>
  <c r="O12" s="1"/>
  <c r="O11" s="1"/>
  <c r="O10" s="1"/>
  <c r="O9" s="1"/>
  <c r="O8" s="1"/>
  <c r="O7" s="1"/>
  <c r="O60"/>
  <c r="AH69" i="6" l="1"/>
  <c r="AI69" s="1"/>
  <c r="AH12"/>
  <c r="AI12" s="1"/>
  <c r="AH46"/>
  <c r="AI46" s="1"/>
  <c r="AH28"/>
  <c r="AI28" s="1"/>
  <c r="AH21"/>
  <c r="AI21" s="1"/>
  <c r="P5"/>
  <c r="AH65"/>
  <c r="AI65" s="1"/>
  <c r="Q62"/>
  <c r="Q61" s="1"/>
  <c r="Q60" s="1"/>
  <c r="Q59" s="1"/>
  <c r="Q58" s="1"/>
  <c r="Q57" s="1"/>
  <c r="Q56" s="1"/>
  <c r="Q55" s="1"/>
  <c r="Q54" s="1"/>
  <c r="Q53" s="1"/>
  <c r="Q52" s="1"/>
  <c r="Q51" s="1"/>
  <c r="Q50" s="1"/>
  <c r="Q49" s="1"/>
  <c r="Q48" s="1"/>
  <c r="Q47" s="1"/>
  <c r="Q46" s="1"/>
  <c r="Q45" s="1"/>
  <c r="Q44" s="1"/>
  <c r="Q43" s="1"/>
  <c r="Q42" s="1"/>
  <c r="Q41" s="1"/>
  <c r="Q40" s="1"/>
  <c r="Q39" s="1"/>
  <c r="Q38" s="1"/>
  <c r="Q37" s="1"/>
  <c r="Q36" s="1"/>
  <c r="Q35" s="1"/>
  <c r="Q34" s="1"/>
  <c r="Q33" s="1"/>
  <c r="Q32" s="1"/>
  <c r="Q31" s="1"/>
  <c r="Q30" s="1"/>
  <c r="AH16"/>
  <c r="AI16" s="1"/>
  <c r="AH44"/>
  <c r="AI44" s="1"/>
  <c r="AH64"/>
  <c r="AI64" s="1"/>
  <c r="AH68"/>
  <c r="AI68" s="1"/>
  <c r="AH72"/>
  <c r="AI72" s="1"/>
  <c r="AH7"/>
  <c r="AI7" s="1"/>
  <c r="AH14"/>
  <c r="AI14" s="1"/>
  <c r="AH37"/>
  <c r="AI37" s="1"/>
  <c r="AH63"/>
  <c r="AI63" s="1"/>
  <c r="AH67"/>
  <c r="AI67" s="1"/>
  <c r="AH71"/>
  <c r="AI71" s="1"/>
  <c r="AH75"/>
  <c r="AI75" s="1"/>
  <c r="AH87"/>
  <c r="AI87" s="1"/>
  <c r="AH42"/>
  <c r="AI42" s="1"/>
  <c r="AH40"/>
  <c r="AI40" s="1"/>
  <c r="AH33"/>
  <c r="AI33" s="1"/>
  <c r="AH26"/>
  <c r="AI26" s="1"/>
  <c r="AH24"/>
  <c r="AI24" s="1"/>
  <c r="AH17"/>
  <c r="AI17" s="1"/>
  <c r="AH8"/>
  <c r="AI8" s="1"/>
  <c r="AH84"/>
  <c r="AI84" s="1"/>
  <c r="AH34"/>
  <c r="AI34" s="1"/>
  <c r="AH92"/>
  <c r="AI92" s="1"/>
  <c r="AH57"/>
  <c r="AI57" s="1"/>
  <c r="AH50"/>
  <c r="AI50" s="1"/>
  <c r="AH48"/>
  <c r="AI48" s="1"/>
  <c r="AH41"/>
  <c r="AI41" s="1"/>
  <c r="AH32"/>
  <c r="AI32" s="1"/>
  <c r="AH25"/>
  <c r="AI25" s="1"/>
  <c r="AH10"/>
  <c r="AI10" s="1"/>
  <c r="AH18"/>
  <c r="AI18" s="1"/>
  <c r="AH30"/>
  <c r="AI30" s="1"/>
  <c r="AH53"/>
  <c r="AI53" s="1"/>
  <c r="AH66"/>
  <c r="AI66" s="1"/>
  <c r="AH70"/>
  <c r="AI70" s="1"/>
  <c r="AH74"/>
  <c r="AI74" s="1"/>
  <c r="AH79"/>
  <c r="AI79" s="1"/>
  <c r="AH95"/>
  <c r="AI95" s="1"/>
  <c r="AH93"/>
  <c r="AI93" s="1"/>
  <c r="AH89"/>
  <c r="AI89" s="1"/>
  <c r="AH85"/>
  <c r="AI85" s="1"/>
  <c r="AH81"/>
  <c r="AI81" s="1"/>
  <c r="AH77"/>
  <c r="AI77" s="1"/>
  <c r="AH61"/>
  <c r="AI61" s="1"/>
  <c r="AH59"/>
  <c r="AI59" s="1"/>
  <c r="AH55"/>
  <c r="AI55" s="1"/>
  <c r="AH51"/>
  <c r="AI51" s="1"/>
  <c r="AH47"/>
  <c r="AI47" s="1"/>
  <c r="AH43"/>
  <c r="AI43" s="1"/>
  <c r="AH39"/>
  <c r="AI39" s="1"/>
  <c r="AH35"/>
  <c r="AI35" s="1"/>
  <c r="AH31"/>
  <c r="AI31" s="1"/>
  <c r="AH27"/>
  <c r="AI27" s="1"/>
  <c r="AH23"/>
  <c r="AI23" s="1"/>
  <c r="AH19"/>
  <c r="AI19" s="1"/>
  <c r="AH15"/>
  <c r="AI15" s="1"/>
  <c r="AH11"/>
  <c r="AI11" s="1"/>
  <c r="AH94"/>
  <c r="AI94" s="1"/>
  <c r="AH90"/>
  <c r="AI90" s="1"/>
  <c r="AH86"/>
  <c r="AI86" s="1"/>
  <c r="AH82"/>
  <c r="AI82" s="1"/>
  <c r="AH78"/>
  <c r="AI78" s="1"/>
  <c r="AH60"/>
  <c r="AI60" s="1"/>
  <c r="AH9"/>
  <c r="AI9" s="1"/>
  <c r="AH13"/>
  <c r="AI13" s="1"/>
  <c r="AH20"/>
  <c r="AI20" s="1"/>
  <c r="AH22"/>
  <c r="AI22" s="1"/>
  <c r="AH29"/>
  <c r="AI29" s="1"/>
  <c r="AH36"/>
  <c r="AI36" s="1"/>
  <c r="AH38"/>
  <c r="AI38" s="1"/>
  <c r="AH45"/>
  <c r="AI45" s="1"/>
  <c r="AH52"/>
  <c r="AI52" s="1"/>
  <c r="AH54"/>
  <c r="AI54" s="1"/>
  <c r="AH62"/>
  <c r="AI62" s="1"/>
  <c r="AH76"/>
  <c r="AI76" s="1"/>
  <c r="AH83"/>
  <c r="AI83" s="1"/>
  <c r="AH91"/>
  <c r="AI91" s="1"/>
  <c r="AH49"/>
  <c r="AI49" s="1"/>
  <c r="AH56"/>
  <c r="AI56" s="1"/>
  <c r="AH58"/>
  <c r="AI58" s="1"/>
  <c r="R62"/>
  <c r="R61" s="1"/>
  <c r="R60" s="1"/>
  <c r="R59" s="1"/>
  <c r="R58" s="1"/>
  <c r="R57" s="1"/>
  <c r="R56" s="1"/>
  <c r="R55" s="1"/>
  <c r="R54" s="1"/>
  <c r="R53" s="1"/>
  <c r="R52" s="1"/>
  <c r="R51" s="1"/>
  <c r="R50" s="1"/>
  <c r="R49" s="1"/>
  <c r="R48" s="1"/>
  <c r="R47" s="1"/>
  <c r="R46" s="1"/>
  <c r="R45" s="1"/>
  <c r="R44" s="1"/>
  <c r="R43" s="1"/>
  <c r="R42" s="1"/>
  <c r="R41" s="1"/>
  <c r="R40" s="1"/>
  <c r="R39" s="1"/>
  <c r="R38" s="1"/>
  <c r="R37" s="1"/>
  <c r="R36" s="1"/>
  <c r="R35" s="1"/>
  <c r="R34" s="1"/>
  <c r="R33" s="1"/>
  <c r="R32" s="1"/>
  <c r="R31" s="1"/>
  <c r="R30" s="1"/>
  <c r="AH80"/>
  <c r="AI80" s="1"/>
  <c r="AH88"/>
  <c r="AI88" s="1"/>
  <c r="A59" i="5"/>
  <c r="A58" s="1"/>
  <c r="A57" s="1"/>
  <c r="A56" s="1"/>
  <c r="A55" s="1"/>
  <c r="A54" s="1"/>
  <c r="A53" s="1"/>
  <c r="A52" s="1"/>
  <c r="A51" s="1"/>
  <c r="A50" s="1"/>
  <c r="A49" s="1"/>
  <c r="A48" s="1"/>
  <c r="A47" s="1"/>
  <c r="A46" s="1"/>
  <c r="A45" s="1"/>
  <c r="A44" s="1"/>
  <c r="A43" s="1"/>
  <c r="A42" s="1"/>
  <c r="A41" s="1"/>
  <c r="A40" s="1"/>
  <c r="A39" s="1"/>
  <c r="A38" s="1"/>
  <c r="A37" s="1"/>
  <c r="A36" s="1"/>
  <c r="A35" s="1"/>
  <c r="A34" s="1"/>
  <c r="A33" s="1"/>
  <c r="A32" s="1"/>
  <c r="A31" s="1"/>
  <c r="A30" s="1"/>
  <c r="A29" s="1"/>
  <c r="A28" s="1"/>
  <c r="A27" s="1"/>
  <c r="A26" s="1"/>
  <c r="A25" s="1"/>
  <c r="A24" s="1"/>
  <c r="A23" s="1"/>
  <c r="A22" s="1"/>
  <c r="A21" s="1"/>
  <c r="A20" s="1"/>
  <c r="A19" s="1"/>
  <c r="A18" s="1"/>
  <c r="A17" s="1"/>
  <c r="A16" s="1"/>
  <c r="A15" s="1"/>
  <c r="A14" s="1"/>
  <c r="A13" s="1"/>
  <c r="A12" s="1"/>
  <c r="A11" s="1"/>
  <c r="A10" s="1"/>
  <c r="A9" s="1"/>
  <c r="A8" s="1"/>
  <c r="A7" s="1"/>
  <c r="A60"/>
  <c r="O96"/>
  <c r="O97" s="1"/>
  <c r="O98" s="1"/>
  <c r="O99" s="1"/>
  <c r="O100" s="1"/>
  <c r="O101" s="1"/>
  <c r="N96"/>
  <c r="N97" s="1"/>
  <c r="N98" s="1"/>
  <c r="N99" s="1"/>
  <c r="N100" s="1"/>
  <c r="N101" s="1"/>
  <c r="K96"/>
  <c r="K97" s="1"/>
  <c r="K98" s="1"/>
  <c r="K99" s="1"/>
  <c r="K100" s="1"/>
  <c r="K101" s="1"/>
  <c r="M95"/>
  <c r="M96" s="1"/>
  <c r="M97" s="1"/>
  <c r="M98" s="1"/>
  <c r="M99" s="1"/>
  <c r="M100" s="1"/>
  <c r="M101" s="1"/>
  <c r="L95"/>
  <c r="L96" s="1"/>
  <c r="L97" s="1"/>
  <c r="L98" s="1"/>
  <c r="L99" s="1"/>
  <c r="L100" s="1"/>
  <c r="L101" s="1"/>
  <c r="A76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M63"/>
  <c r="K63"/>
  <c r="L63" s="1"/>
  <c r="T6" i="1"/>
  <c r="S6"/>
  <c r="K40"/>
  <c r="K41" s="1"/>
  <c r="K42" s="1"/>
  <c r="K43" s="1"/>
  <c r="K44" s="1"/>
  <c r="K45" s="1"/>
  <c r="K39"/>
  <c r="E35" i="3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5"/>
  <c r="E4"/>
  <c r="E3"/>
  <c r="E6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5"/>
  <c r="B4"/>
  <c r="Q5" i="6" l="1"/>
  <c r="Q29"/>
  <c r="Q28" s="1"/>
  <c r="Q27" s="1"/>
  <c r="Q26" s="1"/>
  <c r="Q25" s="1"/>
  <c r="Q24" s="1"/>
  <c r="Q23" s="1"/>
  <c r="Q22" s="1"/>
  <c r="Q21" s="1"/>
  <c r="Q20" s="1"/>
  <c r="Q19" s="1"/>
  <c r="Q18" s="1"/>
  <c r="Q17" s="1"/>
  <c r="Q16" s="1"/>
  <c r="Q15" s="1"/>
  <c r="Q14" s="1"/>
  <c r="Q13" s="1"/>
  <c r="Q12" s="1"/>
  <c r="Q11" s="1"/>
  <c r="Q10" s="1"/>
  <c r="Q9" s="1"/>
  <c r="Q8" s="1"/>
  <c r="Q7" s="1"/>
  <c r="R5"/>
  <c r="R29"/>
  <c r="R28" s="1"/>
  <c r="R27" s="1"/>
  <c r="R26" s="1"/>
  <c r="R25" s="1"/>
  <c r="R24" s="1"/>
  <c r="R23" s="1"/>
  <c r="R22" s="1"/>
  <c r="R21" s="1"/>
  <c r="R20" s="1"/>
  <c r="R19" s="1"/>
  <c r="R18" s="1"/>
  <c r="R17" s="1"/>
  <c r="R16" s="1"/>
  <c r="R15" s="1"/>
  <c r="R14" s="1"/>
  <c r="R13" s="1"/>
  <c r="R12" s="1"/>
  <c r="R11" s="1"/>
  <c r="R10" s="1"/>
  <c r="R9" s="1"/>
  <c r="R8" s="1"/>
  <c r="R7" s="1"/>
  <c r="K62" i="5"/>
  <c r="K61" s="1"/>
  <c r="K60" s="1"/>
  <c r="K59" s="1"/>
  <c r="K58" s="1"/>
  <c r="K57" s="1"/>
  <c r="K56" s="1"/>
  <c r="K55" s="1"/>
  <c r="K54" s="1"/>
  <c r="K53" s="1"/>
  <c r="K52" s="1"/>
  <c r="K51" s="1"/>
  <c r="K50" s="1"/>
  <c r="K49" s="1"/>
  <c r="K48" s="1"/>
  <c r="K47" s="1"/>
  <c r="K46" s="1"/>
  <c r="K45" s="1"/>
  <c r="K44" s="1"/>
  <c r="K43" s="1"/>
  <c r="K42" s="1"/>
  <c r="K41" s="1"/>
  <c r="K40" s="1"/>
  <c r="K39" s="1"/>
  <c r="K38" s="1"/>
  <c r="K37" s="1"/>
  <c r="K36" s="1"/>
  <c r="K35" s="1"/>
  <c r="K34" s="1"/>
  <c r="K33" s="1"/>
  <c r="K32" s="1"/>
  <c r="K31" s="1"/>
  <c r="K30" s="1"/>
  <c r="K29" s="1"/>
  <c r="K28" s="1"/>
  <c r="K27" s="1"/>
  <c r="K26" s="1"/>
  <c r="K25" s="1"/>
  <c r="K24" s="1"/>
  <c r="K23" s="1"/>
  <c r="K22" s="1"/>
  <c r="K21" s="1"/>
  <c r="K20" s="1"/>
  <c r="K19" s="1"/>
  <c r="K18" s="1"/>
  <c r="K17" s="1"/>
  <c r="K16" s="1"/>
  <c r="K15" s="1"/>
  <c r="K14" s="1"/>
  <c r="K13" s="1"/>
  <c r="K12" s="1"/>
  <c r="K11" s="1"/>
  <c r="K10" s="1"/>
  <c r="K9" s="1"/>
  <c r="K8" s="1"/>
  <c r="K7" s="1"/>
  <c r="U41" i="1"/>
  <c r="V41" s="1"/>
  <c r="V40"/>
  <c r="U40"/>
  <c r="M41"/>
  <c r="M42" s="1"/>
  <c r="M43" s="1"/>
  <c r="M44" s="1"/>
  <c r="M45" s="1"/>
  <c r="L41"/>
  <c r="L42" s="1"/>
  <c r="L43" s="1"/>
  <c r="L44" s="1"/>
  <c r="L45" s="1"/>
  <c r="J41"/>
  <c r="J42" s="1"/>
  <c r="J43" s="1"/>
  <c r="J44" s="1"/>
  <c r="J45" s="1"/>
  <c r="I41"/>
  <c r="I42" s="1"/>
  <c r="I43" s="1"/>
  <c r="I44" s="1"/>
  <c r="I45" s="1"/>
  <c r="M40"/>
  <c r="L40"/>
  <c r="J40"/>
  <c r="I40"/>
  <c r="J39"/>
  <c r="M62" i="5" l="1"/>
  <c r="M61" s="1"/>
  <c r="M60" s="1"/>
  <c r="M59" s="1"/>
  <c r="M58" s="1"/>
  <c r="M57" s="1"/>
  <c r="M56" s="1"/>
  <c r="M55" s="1"/>
  <c r="M54" s="1"/>
  <c r="M53" s="1"/>
  <c r="M52" s="1"/>
  <c r="M51" s="1"/>
  <c r="M50" s="1"/>
  <c r="M49" s="1"/>
  <c r="M48" s="1"/>
  <c r="M47" s="1"/>
  <c r="M46" s="1"/>
  <c r="M45" s="1"/>
  <c r="M44" s="1"/>
  <c r="M43" s="1"/>
  <c r="M42" s="1"/>
  <c r="M41" s="1"/>
  <c r="M40" s="1"/>
  <c r="M39" s="1"/>
  <c r="M38" s="1"/>
  <c r="M37" s="1"/>
  <c r="M36" s="1"/>
  <c r="M35" s="1"/>
  <c r="M34" s="1"/>
  <c r="M33" s="1"/>
  <c r="M32" s="1"/>
  <c r="M31" s="1"/>
  <c r="M30" s="1"/>
  <c r="M29" s="1"/>
  <c r="M28" s="1"/>
  <c r="M27" s="1"/>
  <c r="M26" s="1"/>
  <c r="M25" s="1"/>
  <c r="M24" s="1"/>
  <c r="M23" s="1"/>
  <c r="M22" s="1"/>
  <c r="M21" s="1"/>
  <c r="M20" s="1"/>
  <c r="M19" s="1"/>
  <c r="M18" s="1"/>
  <c r="M17" s="1"/>
  <c r="M16" s="1"/>
  <c r="M15" s="1"/>
  <c r="M14" s="1"/>
  <c r="M13" s="1"/>
  <c r="M12" s="1"/>
  <c r="M11" s="1"/>
  <c r="M10" s="1"/>
  <c r="M9" s="1"/>
  <c r="M8" s="1"/>
  <c r="M7" s="1"/>
  <c r="L62"/>
  <c r="AD63"/>
  <c r="U42" i="1"/>
  <c r="R6"/>
  <c r="Q6"/>
  <c r="I7"/>
  <c r="R63" i="5" l="1"/>
  <c r="L61"/>
  <c r="L60" s="1"/>
  <c r="L59" s="1"/>
  <c r="L58" s="1"/>
  <c r="L57" s="1"/>
  <c r="L56" s="1"/>
  <c r="L55" s="1"/>
  <c r="L54" s="1"/>
  <c r="L53" s="1"/>
  <c r="L52" s="1"/>
  <c r="L51" s="1"/>
  <c r="L50" s="1"/>
  <c r="L49" s="1"/>
  <c r="L48" s="1"/>
  <c r="L47" s="1"/>
  <c r="L46" s="1"/>
  <c r="L45" s="1"/>
  <c r="L44" s="1"/>
  <c r="L43" s="1"/>
  <c r="L42" s="1"/>
  <c r="L41" s="1"/>
  <c r="L40" s="1"/>
  <c r="L39" s="1"/>
  <c r="L38" s="1"/>
  <c r="L37" s="1"/>
  <c r="L36" s="1"/>
  <c r="L35" s="1"/>
  <c r="L34" s="1"/>
  <c r="L33" s="1"/>
  <c r="L32" s="1"/>
  <c r="L31" s="1"/>
  <c r="L30" s="1"/>
  <c r="L29" s="1"/>
  <c r="L28" s="1"/>
  <c r="L27" s="1"/>
  <c r="L26" s="1"/>
  <c r="L25" s="1"/>
  <c r="L24" s="1"/>
  <c r="L23" s="1"/>
  <c r="L22" s="1"/>
  <c r="L21" s="1"/>
  <c r="L20" s="1"/>
  <c r="L19" s="1"/>
  <c r="L18" s="1"/>
  <c r="L17" s="1"/>
  <c r="L16" s="1"/>
  <c r="L15" s="1"/>
  <c r="L14" s="1"/>
  <c r="L13" s="1"/>
  <c r="L12" s="1"/>
  <c r="L11" s="1"/>
  <c r="L10" s="1"/>
  <c r="L9" s="1"/>
  <c r="L8" s="1"/>
  <c r="L7" s="1"/>
  <c r="J7" i="1"/>
  <c r="K7"/>
  <c r="V42"/>
  <c r="U43"/>
  <c r="I6"/>
  <c r="F7" i="2"/>
  <c r="F8" s="1"/>
  <c r="F6"/>
  <c r="F5"/>
  <c r="P6" i="1"/>
  <c r="U8"/>
  <c r="V8" s="1"/>
  <c r="U7"/>
  <c r="V7" s="1"/>
  <c r="U6"/>
  <c r="V6" s="1"/>
  <c r="O6"/>
  <c r="Z63" i="5" l="1"/>
  <c r="R64"/>
  <c r="V63"/>
  <c r="K6" i="1"/>
  <c r="S7" s="1"/>
  <c r="J6"/>
  <c r="Q7" s="1"/>
  <c r="Q8" s="1"/>
  <c r="V43"/>
  <c r="U44"/>
  <c r="O7"/>
  <c r="O8" s="1"/>
  <c r="P8" s="1"/>
  <c r="U9"/>
  <c r="R65" i="5" l="1"/>
  <c r="S8" i="1"/>
  <c r="T7"/>
  <c r="R7"/>
  <c r="V44"/>
  <c r="U45"/>
  <c r="V45" s="1"/>
  <c r="O9"/>
  <c r="O10" s="1"/>
  <c r="P7"/>
  <c r="Q9"/>
  <c r="R8"/>
  <c r="U10"/>
  <c r="V9"/>
  <c r="A20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R66" i="5" l="1"/>
  <c r="S9" i="1"/>
  <c r="T8"/>
  <c r="P9"/>
  <c r="Q10"/>
  <c r="R9"/>
  <c r="U11"/>
  <c r="V10"/>
  <c r="O11"/>
  <c r="P10"/>
  <c r="R67" i="5" l="1"/>
  <c r="S10" i="1"/>
  <c r="T9"/>
  <c r="Q11"/>
  <c r="R10"/>
  <c r="U12"/>
  <c r="V11"/>
  <c r="O12"/>
  <c r="P11"/>
  <c r="R68" i="5" l="1"/>
  <c r="S11" i="1"/>
  <c r="T10"/>
  <c r="Q12"/>
  <c r="R11"/>
  <c r="U13"/>
  <c r="V12"/>
  <c r="O13"/>
  <c r="P12"/>
  <c r="T5" i="6" l="1"/>
  <c r="AD30" s="1"/>
  <c r="R69" i="5"/>
  <c r="S12" i="1"/>
  <c r="T11"/>
  <c r="Q13"/>
  <c r="R12"/>
  <c r="U14"/>
  <c r="V13"/>
  <c r="O14"/>
  <c r="P13"/>
  <c r="AE30" i="6" l="1"/>
  <c r="Z30"/>
  <c r="AD29"/>
  <c r="Z29"/>
  <c r="V29"/>
  <c r="V58"/>
  <c r="V93"/>
  <c r="AD89"/>
  <c r="Z76"/>
  <c r="AD56"/>
  <c r="AD54"/>
  <c r="AD81"/>
  <c r="V44"/>
  <c r="Z62"/>
  <c r="AD43"/>
  <c r="V38"/>
  <c r="V82"/>
  <c r="V39"/>
  <c r="Z88"/>
  <c r="AD58"/>
  <c r="AD51"/>
  <c r="Z45"/>
  <c r="AD40"/>
  <c r="Z83"/>
  <c r="AD91"/>
  <c r="AD87"/>
  <c r="AD83"/>
  <c r="AD79"/>
  <c r="AD75"/>
  <c r="AD73"/>
  <c r="AD71"/>
  <c r="AD69"/>
  <c r="AD67"/>
  <c r="AD65"/>
  <c r="AD63"/>
  <c r="AD62"/>
  <c r="V43"/>
  <c r="Z49"/>
  <c r="V59"/>
  <c r="Z64"/>
  <c r="Z68"/>
  <c r="Z72"/>
  <c r="AD52"/>
  <c r="Z84"/>
  <c r="Z92"/>
  <c r="V51"/>
  <c r="V60"/>
  <c r="Z91"/>
  <c r="Z44"/>
  <c r="V40"/>
  <c r="AD44"/>
  <c r="Z52"/>
  <c r="Z93"/>
  <c r="Z85"/>
  <c r="Z77"/>
  <c r="V72"/>
  <c r="V68"/>
  <c r="V64"/>
  <c r="Z61"/>
  <c r="V53"/>
  <c r="V45"/>
  <c r="V41"/>
  <c r="V88"/>
  <c r="V80"/>
  <c r="Z60"/>
  <c r="Z42"/>
  <c r="AD48"/>
  <c r="AD86"/>
  <c r="AD78"/>
  <c r="Z50"/>
  <c r="AD74"/>
  <c r="AD72"/>
  <c r="AD68"/>
  <c r="AD64"/>
  <c r="AD57"/>
  <c r="AD53"/>
  <c r="AD45"/>
  <c r="AD92"/>
  <c r="AD88"/>
  <c r="AD80"/>
  <c r="Z40"/>
  <c r="AD46"/>
  <c r="Z56"/>
  <c r="Z66"/>
  <c r="Z70"/>
  <c r="Z79"/>
  <c r="AD95"/>
  <c r="V54"/>
  <c r="AD59"/>
  <c r="Z41"/>
  <c r="V85"/>
  <c r="AD47"/>
  <c r="V77"/>
  <c r="V47"/>
  <c r="V90"/>
  <c r="V55"/>
  <c r="Z38"/>
  <c r="Z80"/>
  <c r="AD42"/>
  <c r="V42"/>
  <c r="V95"/>
  <c r="Z95"/>
  <c r="V91"/>
  <c r="V87"/>
  <c r="V83"/>
  <c r="V79"/>
  <c r="V75"/>
  <c r="V73"/>
  <c r="V71"/>
  <c r="V69"/>
  <c r="V67"/>
  <c r="V65"/>
  <c r="V63"/>
  <c r="Z59"/>
  <c r="Z55"/>
  <c r="Z51"/>
  <c r="Z47"/>
  <c r="Z43"/>
  <c r="Z39"/>
  <c r="Z94"/>
  <c r="Z90"/>
  <c r="Z86"/>
  <c r="Z82"/>
  <c r="Z78"/>
  <c r="V62"/>
  <c r="AD39"/>
  <c r="V50"/>
  <c r="AD55"/>
  <c r="AD60"/>
  <c r="Z65"/>
  <c r="Z69"/>
  <c r="Z73"/>
  <c r="AD77"/>
  <c r="AD85"/>
  <c r="AD93"/>
  <c r="Z53"/>
  <c r="V78"/>
  <c r="V86"/>
  <c r="V94"/>
  <c r="AD61"/>
  <c r="V46"/>
  <c r="Z89"/>
  <c r="Z81"/>
  <c r="V74"/>
  <c r="V70"/>
  <c r="V66"/>
  <c r="V57"/>
  <c r="V49"/>
  <c r="V92"/>
  <c r="V84"/>
  <c r="V76"/>
  <c r="Z58"/>
  <c r="Z63"/>
  <c r="Z67"/>
  <c r="Z71"/>
  <c r="Z75"/>
  <c r="V81"/>
  <c r="V89"/>
  <c r="AD50"/>
  <c r="V56"/>
  <c r="V61"/>
  <c r="AD82"/>
  <c r="AD90"/>
  <c r="Z48"/>
  <c r="Z57"/>
  <c r="Z46"/>
  <c r="V48"/>
  <c r="AD94"/>
  <c r="Z54"/>
  <c r="AD70"/>
  <c r="AD66"/>
  <c r="AD49"/>
  <c r="AD41"/>
  <c r="AD84"/>
  <c r="AD76"/>
  <c r="V52"/>
  <c r="Z74"/>
  <c r="Z87"/>
  <c r="AD38"/>
  <c r="Z37"/>
  <c r="AD37"/>
  <c r="V37"/>
  <c r="AD36"/>
  <c r="Z36"/>
  <c r="V36"/>
  <c r="AD35"/>
  <c r="V35"/>
  <c r="Z35"/>
  <c r="V34"/>
  <c r="AD34"/>
  <c r="Z34"/>
  <c r="V33"/>
  <c r="Z33"/>
  <c r="AD33"/>
  <c r="AD32"/>
  <c r="V32"/>
  <c r="Z32"/>
  <c r="V31"/>
  <c r="AD31"/>
  <c r="Z31"/>
  <c r="V30"/>
  <c r="R70" i="5"/>
  <c r="S13" i="1"/>
  <c r="T12"/>
  <c r="Q14"/>
  <c r="R13"/>
  <c r="U15"/>
  <c r="V14"/>
  <c r="O15"/>
  <c r="P14"/>
  <c r="AA31" i="6" l="1"/>
  <c r="W33"/>
  <c r="AA36"/>
  <c r="W52"/>
  <c r="AE94"/>
  <c r="W56"/>
  <c r="AA58"/>
  <c r="W74"/>
  <c r="AA53"/>
  <c r="AE55"/>
  <c r="AA94"/>
  <c r="W65"/>
  <c r="W42"/>
  <c r="AE47"/>
  <c r="AA66"/>
  <c r="AE53"/>
  <c r="AE86"/>
  <c r="W53"/>
  <c r="AA52"/>
  <c r="AA84"/>
  <c r="AE62"/>
  <c r="AE79"/>
  <c r="AE58"/>
  <c r="AE81"/>
  <c r="AE89"/>
  <c r="AA29"/>
  <c r="AA32"/>
  <c r="W34"/>
  <c r="AE37"/>
  <c r="AA54"/>
  <c r="W61"/>
  <c r="W81"/>
  <c r="W92"/>
  <c r="W70"/>
  <c r="W46"/>
  <c r="W78"/>
  <c r="AE77"/>
  <c r="AE60"/>
  <c r="W62"/>
  <c r="AA90"/>
  <c r="AA47"/>
  <c r="W63"/>
  <c r="W71"/>
  <c r="W83"/>
  <c r="W95"/>
  <c r="AA38"/>
  <c r="W77"/>
  <c r="AE59"/>
  <c r="AA70"/>
  <c r="AA40"/>
  <c r="AE45"/>
  <c r="AE68"/>
  <c r="AE78"/>
  <c r="AA60"/>
  <c r="W45"/>
  <c r="W68"/>
  <c r="AA93"/>
  <c r="AA44"/>
  <c r="AA92"/>
  <c r="AA68"/>
  <c r="W43"/>
  <c r="AE67"/>
  <c r="AE75"/>
  <c r="AE91"/>
  <c r="AE51"/>
  <c r="W82"/>
  <c r="W44"/>
  <c r="AA76"/>
  <c r="W29"/>
  <c r="W31"/>
  <c r="AE33"/>
  <c r="AE34"/>
  <c r="AE35"/>
  <c r="W37"/>
  <c r="AA87"/>
  <c r="AE84"/>
  <c r="AE70"/>
  <c r="AA46"/>
  <c r="AE82"/>
  <c r="W89"/>
  <c r="AA67"/>
  <c r="W84"/>
  <c r="W66"/>
  <c r="AA89"/>
  <c r="W86"/>
  <c r="AE85"/>
  <c r="AA65"/>
  <c r="AE39"/>
  <c r="AA86"/>
  <c r="AA43"/>
  <c r="AA59"/>
  <c r="W69"/>
  <c r="W79"/>
  <c r="AA95"/>
  <c r="AA80"/>
  <c r="W47"/>
  <c r="AA41"/>
  <c r="AA79"/>
  <c r="AE46"/>
  <c r="AE92"/>
  <c r="AE64"/>
  <c r="AA50"/>
  <c r="AA42"/>
  <c r="W41"/>
  <c r="W64"/>
  <c r="AA85"/>
  <c r="W40"/>
  <c r="W51"/>
  <c r="AA72"/>
  <c r="AA49"/>
  <c r="AE65"/>
  <c r="AE73"/>
  <c r="AE87"/>
  <c r="AA45"/>
  <c r="W39"/>
  <c r="AA62"/>
  <c r="AE56"/>
  <c r="W58"/>
  <c r="AA30"/>
  <c r="W32"/>
  <c r="AA35"/>
  <c r="AA37"/>
  <c r="AE49"/>
  <c r="AA48"/>
  <c r="AA75"/>
  <c r="W49"/>
  <c r="AE61"/>
  <c r="AA73"/>
  <c r="AA78"/>
  <c r="AA51"/>
  <c r="W73"/>
  <c r="W87"/>
  <c r="W55"/>
  <c r="W54"/>
  <c r="AE80"/>
  <c r="AE72"/>
  <c r="W80"/>
  <c r="W72"/>
  <c r="AA91"/>
  <c r="AA64"/>
  <c r="AE69"/>
  <c r="AA83"/>
  <c r="W38"/>
  <c r="W30"/>
  <c r="V5"/>
  <c r="AA33"/>
  <c r="W36"/>
  <c r="AA74"/>
  <c r="AE41"/>
  <c r="AA57"/>
  <c r="AA63"/>
  <c r="AE31"/>
  <c r="AE32"/>
  <c r="AA34"/>
  <c r="W35"/>
  <c r="AE36"/>
  <c r="AE38"/>
  <c r="AE76"/>
  <c r="AE66"/>
  <c r="W48"/>
  <c r="AE90"/>
  <c r="AE50"/>
  <c r="AA71"/>
  <c r="W76"/>
  <c r="W57"/>
  <c r="AA81"/>
  <c r="W94"/>
  <c r="AE93"/>
  <c r="AA69"/>
  <c r="W50"/>
  <c r="AA82"/>
  <c r="AA39"/>
  <c r="AA55"/>
  <c r="W67"/>
  <c r="W75"/>
  <c r="W91"/>
  <c r="AE42"/>
  <c r="W90"/>
  <c r="W85"/>
  <c r="AE95"/>
  <c r="AA56"/>
  <c r="AE88"/>
  <c r="AE57"/>
  <c r="AE74"/>
  <c r="AE48"/>
  <c r="W88"/>
  <c r="AA61"/>
  <c r="AA77"/>
  <c r="AE44"/>
  <c r="W60"/>
  <c r="AE52"/>
  <c r="W59"/>
  <c r="AE63"/>
  <c r="AE71"/>
  <c r="AE83"/>
  <c r="AE40"/>
  <c r="AA88"/>
  <c r="AE43"/>
  <c r="AE54"/>
  <c r="W93"/>
  <c r="AE29"/>
  <c r="V28"/>
  <c r="Z28"/>
  <c r="AD28"/>
  <c r="R71" i="5"/>
  <c r="S14" i="1"/>
  <c r="T13"/>
  <c r="Q15"/>
  <c r="R14"/>
  <c r="U16"/>
  <c r="V15"/>
  <c r="O16"/>
  <c r="P15"/>
  <c r="W28" i="6" l="1"/>
  <c r="AA28"/>
  <c r="AE28"/>
  <c r="AD27"/>
  <c r="V27"/>
  <c r="Z27"/>
  <c r="R72" i="5"/>
  <c r="S15" i="1"/>
  <c r="T14"/>
  <c r="Q16"/>
  <c r="R15"/>
  <c r="U17"/>
  <c r="V16"/>
  <c r="O17"/>
  <c r="P16"/>
  <c r="W27" i="6" l="1"/>
  <c r="AA27"/>
  <c r="AE27"/>
  <c r="Z26"/>
  <c r="AD26"/>
  <c r="V26"/>
  <c r="R73" i="5"/>
  <c r="S16" i="1"/>
  <c r="T15"/>
  <c r="Q17"/>
  <c r="R16"/>
  <c r="U18"/>
  <c r="V17"/>
  <c r="O18"/>
  <c r="P17"/>
  <c r="AE26" i="6" l="1"/>
  <c r="W26"/>
  <c r="AA26"/>
  <c r="Z25"/>
  <c r="V25"/>
  <c r="AD25"/>
  <c r="R74" i="5"/>
  <c r="S17" i="1"/>
  <c r="T16"/>
  <c r="Q18"/>
  <c r="R17"/>
  <c r="U19"/>
  <c r="V18"/>
  <c r="O19"/>
  <c r="P18"/>
  <c r="AA25" i="6" l="1"/>
  <c r="W25"/>
  <c r="AE25"/>
  <c r="AD24"/>
  <c r="V24"/>
  <c r="Z24"/>
  <c r="R75" i="5"/>
  <c r="S18" i="1"/>
  <c r="T17"/>
  <c r="Q19"/>
  <c r="R18"/>
  <c r="U20"/>
  <c r="V19"/>
  <c r="O20"/>
  <c r="P19"/>
  <c r="AE24" i="6" l="1"/>
  <c r="W24"/>
  <c r="AA24"/>
  <c r="Z23"/>
  <c r="AD23"/>
  <c r="V23"/>
  <c r="R76" i="5"/>
  <c r="S19" i="1"/>
  <c r="T18"/>
  <c r="Q20"/>
  <c r="R19"/>
  <c r="U21"/>
  <c r="V20"/>
  <c r="O21"/>
  <c r="P20"/>
  <c r="AA23" i="6" l="1"/>
  <c r="AE23"/>
  <c r="W23"/>
  <c r="AD22"/>
  <c r="V22"/>
  <c r="Z22"/>
  <c r="R77" i="5"/>
  <c r="S20" i="1"/>
  <c r="T19"/>
  <c r="Q21"/>
  <c r="R20"/>
  <c r="U22"/>
  <c r="V21"/>
  <c r="O22"/>
  <c r="P21"/>
  <c r="AA22" i="6" l="1"/>
  <c r="AE22"/>
  <c r="W22"/>
  <c r="Z21"/>
  <c r="V21"/>
  <c r="AD21"/>
  <c r="R78" i="5"/>
  <c r="S21" i="1"/>
  <c r="T20"/>
  <c r="Q22"/>
  <c r="R21"/>
  <c r="U23"/>
  <c r="V22"/>
  <c r="O23"/>
  <c r="P22"/>
  <c r="AE21" i="6" l="1"/>
  <c r="AA21"/>
  <c r="W21"/>
  <c r="V20"/>
  <c r="Z20"/>
  <c r="AD20"/>
  <c r="R79" i="5"/>
  <c r="S22" i="1"/>
  <c r="T21"/>
  <c r="Q23"/>
  <c r="R22"/>
  <c r="U24"/>
  <c r="V23"/>
  <c r="O24"/>
  <c r="P23"/>
  <c r="AE20" i="6" l="1"/>
  <c r="W20"/>
  <c r="AA20"/>
  <c r="V19"/>
  <c r="AD19"/>
  <c r="Z19"/>
  <c r="R80" i="5"/>
  <c r="S23" i="1"/>
  <c r="T22"/>
  <c r="Q24"/>
  <c r="R23"/>
  <c r="U25"/>
  <c r="V24"/>
  <c r="O25"/>
  <c r="P24"/>
  <c r="W19" i="6" l="1"/>
  <c r="AE19"/>
  <c r="AA19"/>
  <c r="Z18"/>
  <c r="AD18"/>
  <c r="V18"/>
  <c r="R81" i="5"/>
  <c r="S24" i="1"/>
  <c r="T23"/>
  <c r="Q25"/>
  <c r="R24"/>
  <c r="U26"/>
  <c r="V25"/>
  <c r="O26"/>
  <c r="P25"/>
  <c r="AA18" i="6" l="1"/>
  <c r="AE18"/>
  <c r="W18"/>
  <c r="Z17"/>
  <c r="V17"/>
  <c r="AD17"/>
  <c r="R82" i="5"/>
  <c r="S25" i="1"/>
  <c r="T24"/>
  <c r="Q26"/>
  <c r="R25"/>
  <c r="U27"/>
  <c r="V26"/>
  <c r="O27"/>
  <c r="P26"/>
  <c r="W17" i="6" l="1"/>
  <c r="X17" s="1"/>
  <c r="Y17" s="1"/>
  <c r="AM17" s="1"/>
  <c r="AE17"/>
  <c r="AF17" s="1"/>
  <c r="AG17" s="1"/>
  <c r="AO17" s="1"/>
  <c r="AA17"/>
  <c r="AB17" s="1"/>
  <c r="AC17" s="1"/>
  <c r="AN17" s="1"/>
  <c r="Z16"/>
  <c r="AD16"/>
  <c r="V16"/>
  <c r="R83" i="5"/>
  <c r="S26" i="1"/>
  <c r="T25"/>
  <c r="Q27"/>
  <c r="R26"/>
  <c r="U28"/>
  <c r="V27"/>
  <c r="O28"/>
  <c r="P27"/>
  <c r="AA16" i="6" l="1"/>
  <c r="AB16" s="1"/>
  <c r="AC16" s="1"/>
  <c r="AN16" s="1"/>
  <c r="AE16"/>
  <c r="AF16" s="1"/>
  <c r="AG16" s="1"/>
  <c r="AO16" s="1"/>
  <c r="W16"/>
  <c r="X16" s="1"/>
  <c r="Y16" s="1"/>
  <c r="AM16" s="1"/>
  <c r="V15"/>
  <c r="Z15"/>
  <c r="AD15"/>
  <c r="R84" i="5"/>
  <c r="S27" i="1"/>
  <c r="T26"/>
  <c r="Q28"/>
  <c r="R27"/>
  <c r="U29"/>
  <c r="V28"/>
  <c r="O29"/>
  <c r="P28"/>
  <c r="AA15" i="6" l="1"/>
  <c r="AB15" s="1"/>
  <c r="AC15" s="1"/>
  <c r="AN15" s="1"/>
  <c r="AE15"/>
  <c r="AF15" s="1"/>
  <c r="AG15" s="1"/>
  <c r="AO15" s="1"/>
  <c r="W15"/>
  <c r="X15" s="1"/>
  <c r="Y15" s="1"/>
  <c r="AM15" s="1"/>
  <c r="V14"/>
  <c r="Z14"/>
  <c r="AD14"/>
  <c r="R85" i="5"/>
  <c r="S28" i="1"/>
  <c r="T27"/>
  <c r="Q29"/>
  <c r="R28"/>
  <c r="U30"/>
  <c r="V29"/>
  <c r="O30"/>
  <c r="P29"/>
  <c r="W14" i="6" l="1"/>
  <c r="X14" s="1"/>
  <c r="Y14" s="1"/>
  <c r="AM14" s="1"/>
  <c r="AA14"/>
  <c r="AB14" s="1"/>
  <c r="AC14" s="1"/>
  <c r="AN14" s="1"/>
  <c r="AE14"/>
  <c r="AF14" s="1"/>
  <c r="AG14" s="1"/>
  <c r="AO14" s="1"/>
  <c r="V13"/>
  <c r="Z13"/>
  <c r="AD13"/>
  <c r="R86" i="5"/>
  <c r="S29" i="1"/>
  <c r="T28"/>
  <c r="Q30"/>
  <c r="R29"/>
  <c r="U31"/>
  <c r="V30"/>
  <c r="O31"/>
  <c r="P30"/>
  <c r="AA13" i="6" l="1"/>
  <c r="AB13" s="1"/>
  <c r="AC13" s="1"/>
  <c r="AN13" s="1"/>
  <c r="AE13"/>
  <c r="AF13" s="1"/>
  <c r="AG13" s="1"/>
  <c r="AO13" s="1"/>
  <c r="W13"/>
  <c r="X13" s="1"/>
  <c r="Y13" s="1"/>
  <c r="AM13" s="1"/>
  <c r="V12"/>
  <c r="Z12"/>
  <c r="AD12"/>
  <c r="R87" i="5"/>
  <c r="S30" i="1"/>
  <c r="T29"/>
  <c r="Q31"/>
  <c r="R30"/>
  <c r="U32"/>
  <c r="V31"/>
  <c r="O32"/>
  <c r="P31"/>
  <c r="W12" i="6" l="1"/>
  <c r="X12" s="1"/>
  <c r="Y12" s="1"/>
  <c r="AM12" s="1"/>
  <c r="AA12"/>
  <c r="AB12" s="1"/>
  <c r="AC12" s="1"/>
  <c r="AN12" s="1"/>
  <c r="AE12"/>
  <c r="AF12" s="1"/>
  <c r="AG12" s="1"/>
  <c r="AO12" s="1"/>
  <c r="AD11"/>
  <c r="V11"/>
  <c r="Z11"/>
  <c r="R88" i="5"/>
  <c r="S31" i="1"/>
  <c r="T30"/>
  <c r="Q32"/>
  <c r="R31"/>
  <c r="U33"/>
  <c r="V32"/>
  <c r="O33"/>
  <c r="P32"/>
  <c r="AE11" i="6" l="1"/>
  <c r="AF11" s="1"/>
  <c r="AG11" s="1"/>
  <c r="AO11" s="1"/>
  <c r="W11"/>
  <c r="X11" s="1"/>
  <c r="Y11" s="1"/>
  <c r="AM11" s="1"/>
  <c r="AA11"/>
  <c r="AB11" s="1"/>
  <c r="AC11" s="1"/>
  <c r="AN11" s="1"/>
  <c r="Z10"/>
  <c r="AD10"/>
  <c r="V10"/>
  <c r="R89" i="5"/>
  <c r="S32" i="1"/>
  <c r="T31"/>
  <c r="Q33"/>
  <c r="R32"/>
  <c r="U34"/>
  <c r="V33"/>
  <c r="P33"/>
  <c r="O34"/>
  <c r="AA10" i="6" l="1"/>
  <c r="AB10" s="1"/>
  <c r="AC10" s="1"/>
  <c r="AN10" s="1"/>
  <c r="AE10"/>
  <c r="AF10" s="1"/>
  <c r="AG10" s="1"/>
  <c r="AO10" s="1"/>
  <c r="W10"/>
  <c r="X10" s="1"/>
  <c r="Y10" s="1"/>
  <c r="AM10" s="1"/>
  <c r="V9"/>
  <c r="AD9"/>
  <c r="Z9"/>
  <c r="R90" i="5"/>
  <c r="S33" i="1"/>
  <c r="T32"/>
  <c r="Q34"/>
  <c r="R33"/>
  <c r="U35"/>
  <c r="V34"/>
  <c r="O35"/>
  <c r="P34"/>
  <c r="W9" i="6" l="1"/>
  <c r="X9" s="1"/>
  <c r="Y9" s="1"/>
  <c r="AM9" s="1"/>
  <c r="AE9"/>
  <c r="AF9" s="1"/>
  <c r="AG9" s="1"/>
  <c r="AO9" s="1"/>
  <c r="AA9"/>
  <c r="AB9" s="1"/>
  <c r="AC9" s="1"/>
  <c r="AN9" s="1"/>
  <c r="Z8"/>
  <c r="V8"/>
  <c r="AD8"/>
  <c r="R91" i="5"/>
  <c r="S34" i="1"/>
  <c r="T33"/>
  <c r="Q35"/>
  <c r="R34"/>
  <c r="U36"/>
  <c r="V35"/>
  <c r="P35"/>
  <c r="O36"/>
  <c r="AA8" i="6" l="1"/>
  <c r="AB8" s="1"/>
  <c r="AC8" s="1"/>
  <c r="AN8" s="1"/>
  <c r="W8"/>
  <c r="X8" s="1"/>
  <c r="Y8" s="1"/>
  <c r="AM8" s="1"/>
  <c r="AE8"/>
  <c r="AF8" s="1"/>
  <c r="AG8" s="1"/>
  <c r="AO8" s="1"/>
  <c r="Z7"/>
  <c r="V7"/>
  <c r="AD7"/>
  <c r="R92" i="5"/>
  <c r="S35" i="1"/>
  <c r="T34"/>
  <c r="Q36"/>
  <c r="R35"/>
  <c r="V36"/>
  <c r="U37"/>
  <c r="P36"/>
  <c r="O37"/>
  <c r="AA7" i="6" l="1"/>
  <c r="AB7" s="1"/>
  <c r="AC7" s="1"/>
  <c r="AN7" s="1"/>
  <c r="W7"/>
  <c r="X7" s="1"/>
  <c r="Y7" s="1"/>
  <c r="AM7" s="1"/>
  <c r="AE7"/>
  <c r="AF7" s="1"/>
  <c r="AG7" s="1"/>
  <c r="AO7" s="1"/>
  <c r="R93" i="5"/>
  <c r="S36" i="1"/>
  <c r="T35"/>
  <c r="Q37"/>
  <c r="R36"/>
  <c r="V37"/>
  <c r="U38"/>
  <c r="O38"/>
  <c r="P37"/>
  <c r="R94" i="5" l="1"/>
  <c r="S37" i="1"/>
  <c r="T36"/>
  <c r="Q38"/>
  <c r="R37"/>
  <c r="U39"/>
  <c r="V39" s="1"/>
  <c r="V38"/>
  <c r="P38"/>
  <c r="O39"/>
  <c r="R95" i="5" l="1"/>
  <c r="S38" i="1"/>
  <c r="T37"/>
  <c r="P39"/>
  <c r="O40"/>
  <c r="Q39"/>
  <c r="R38"/>
  <c r="R96" i="5" l="1"/>
  <c r="R39" i="1"/>
  <c r="Q40"/>
  <c r="S39"/>
  <c r="T38"/>
  <c r="P40"/>
  <c r="O41"/>
  <c r="R97" i="5" l="1"/>
  <c r="P41" i="1"/>
  <c r="O42"/>
  <c r="S40"/>
  <c r="T39"/>
  <c r="R40"/>
  <c r="Q41"/>
  <c r="R98" i="5" l="1"/>
  <c r="Q42" i="1"/>
  <c r="R41"/>
  <c r="O43"/>
  <c r="P42"/>
  <c r="S41"/>
  <c r="T40"/>
  <c r="R99" i="5" l="1"/>
  <c r="R42" i="1"/>
  <c r="Q43"/>
  <c r="O44"/>
  <c r="P43"/>
  <c r="S42"/>
  <c r="T41"/>
  <c r="R100" i="5" l="1"/>
  <c r="R101"/>
  <c r="Q44" i="1"/>
  <c r="R43"/>
  <c r="S43"/>
  <c r="T42"/>
  <c r="O45"/>
  <c r="P45" s="1"/>
  <c r="P44"/>
  <c r="S44" l="1"/>
  <c r="T43"/>
  <c r="R44"/>
  <c r="Q45"/>
  <c r="R45" s="1"/>
  <c r="S45" l="1"/>
  <c r="T45" s="1"/>
  <c r="T44"/>
</calcChain>
</file>

<file path=xl/comments1.xml><?xml version="1.0" encoding="utf-8"?>
<comments xmlns="http://schemas.openxmlformats.org/spreadsheetml/2006/main">
  <authors>
    <author>Manu</author>
  </authors>
  <commentList>
    <comment ref="G39" authorId="0">
      <text>
        <r>
          <rPr>
            <b/>
            <sz val="9"/>
            <color indexed="81"/>
            <rFont val="Tahoma"/>
            <charset val="1"/>
          </rPr>
          <t>Manu:</t>
        </r>
        <r>
          <rPr>
            <sz val="9"/>
            <color indexed="81"/>
            <rFont val="Tahoma"/>
            <charset val="1"/>
          </rPr>
          <t xml:space="preserve">
Con Dólar exportador desde 2/2024
</t>
        </r>
      </text>
    </comment>
  </commentList>
</comments>
</file>

<file path=xl/comments2.xml><?xml version="1.0" encoding="utf-8"?>
<comments xmlns="http://schemas.openxmlformats.org/spreadsheetml/2006/main">
  <authors>
    <author>Manu</author>
  </authors>
  <commentList>
    <comment ref="I95" authorId="0">
      <text>
        <r>
          <rPr>
            <b/>
            <sz val="9"/>
            <color indexed="81"/>
            <rFont val="Tahoma"/>
            <charset val="1"/>
          </rPr>
          <t>Manu:</t>
        </r>
        <r>
          <rPr>
            <sz val="9"/>
            <color indexed="81"/>
            <rFont val="Tahoma"/>
            <charset val="1"/>
          </rPr>
          <t xml:space="preserve">
Con Dólar exportador desde 2/2024
</t>
        </r>
      </text>
    </comment>
  </commentList>
</comments>
</file>

<file path=xl/comments3.xml><?xml version="1.0" encoding="utf-8"?>
<comments xmlns="http://schemas.openxmlformats.org/spreadsheetml/2006/main">
  <authors>
    <author>Manu</author>
  </authors>
  <commentList>
    <comment ref="N95" authorId="0">
      <text>
        <r>
          <rPr>
            <b/>
            <sz val="9"/>
            <color indexed="81"/>
            <rFont val="Tahoma"/>
            <charset val="1"/>
          </rPr>
          <t>Manu:</t>
        </r>
        <r>
          <rPr>
            <sz val="9"/>
            <color indexed="81"/>
            <rFont val="Tahoma"/>
            <charset val="1"/>
          </rPr>
          <t xml:space="preserve">
Con Dólar exportador desde 2/2024
</t>
        </r>
      </text>
    </comment>
  </commentList>
</comments>
</file>

<file path=xl/sharedStrings.xml><?xml version="1.0" encoding="utf-8"?>
<sst xmlns="http://schemas.openxmlformats.org/spreadsheetml/2006/main" count="211" uniqueCount="120">
  <si>
    <t>TCC</t>
  </si>
  <si>
    <t>Paridad por ipi + ipc</t>
  </si>
  <si>
    <t>Paridad por IPC</t>
  </si>
  <si>
    <t>IPC</t>
  </si>
  <si>
    <t>2004=1</t>
  </si>
  <si>
    <t>IPT Industria</t>
  </si>
  <si>
    <t>1997=100</t>
  </si>
  <si>
    <t>ARG</t>
  </si>
  <si>
    <t>USA</t>
  </si>
  <si>
    <t>IPT Industrai</t>
  </si>
  <si>
    <t>JIC</t>
  </si>
  <si>
    <t>Propias</t>
  </si>
  <si>
    <t>jul</t>
  </si>
  <si>
    <t>ag</t>
  </si>
  <si>
    <t>sep</t>
  </si>
  <si>
    <t>oct</t>
  </si>
  <si>
    <t>IPT ENGE</t>
  </si>
  <si>
    <t>IPC + IPI Indutrial</t>
  </si>
  <si>
    <t>Paridad</t>
  </si>
  <si>
    <t>Sobrevaluación</t>
  </si>
  <si>
    <t>IPC + ENGE ind</t>
  </si>
  <si>
    <t>IPT JIC</t>
  </si>
  <si>
    <t>sin imp</t>
  </si>
  <si>
    <t>con imp</t>
  </si>
  <si>
    <t>Sin imp</t>
  </si>
  <si>
    <t>Con imp</t>
  </si>
  <si>
    <t>IPT Arg JIC</t>
  </si>
  <si>
    <t>IPT USA</t>
  </si>
  <si>
    <t>Promedio 1959-1972</t>
  </si>
  <si>
    <t>PBI pm</t>
  </si>
  <si>
    <t>38390</t>
  </si>
  <si>
    <t>41172</t>
  </si>
  <si>
    <t>41299</t>
  </si>
  <si>
    <t>42879</t>
  </si>
  <si>
    <t>43575</t>
  </si>
  <si>
    <t>45852</t>
  </si>
  <si>
    <t>46358</t>
  </si>
  <si>
    <t>46042</t>
  </si>
  <si>
    <t>51228</t>
  </si>
  <si>
    <t>49583</t>
  </si>
  <si>
    <t>54011</t>
  </si>
  <si>
    <t>60999</t>
  </si>
  <si>
    <t>65391</t>
  </si>
  <si>
    <t>65597</t>
  </si>
  <si>
    <t>67477</t>
  </si>
  <si>
    <t>70100</t>
  </si>
  <si>
    <t>66572</t>
  </si>
  <si>
    <t>72994</t>
  </si>
  <si>
    <t>78150</t>
  </si>
  <si>
    <t>80321</t>
  </si>
  <si>
    <t>84481</t>
  </si>
  <si>
    <t>89637</t>
  </si>
  <si>
    <t>83848</t>
  </si>
  <si>
    <t>90451</t>
  </si>
  <si>
    <t>98277</t>
  </si>
  <si>
    <t>98119</t>
  </si>
  <si>
    <t>97181</t>
  </si>
  <si>
    <t>108745</t>
  </si>
  <si>
    <t>120430</t>
  </si>
  <si>
    <t>122964</t>
  </si>
  <si>
    <t>128048</t>
  </si>
  <si>
    <t>135486</t>
  </si>
  <si>
    <t>149186</t>
  </si>
  <si>
    <t>159496</t>
  </si>
  <si>
    <t>165504</t>
  </si>
  <si>
    <t>168965</t>
  </si>
  <si>
    <t>175282</t>
  </si>
  <si>
    <t>184751</t>
  </si>
  <si>
    <t>183653</t>
  </si>
  <si>
    <t>183631</t>
  </si>
  <si>
    <t>195367</t>
  </si>
  <si>
    <t>189063</t>
  </si>
  <si>
    <t>202171</t>
  </si>
  <si>
    <t>205418</t>
  </si>
  <si>
    <t>193720</t>
  </si>
  <si>
    <t>187640</t>
  </si>
  <si>
    <t>195319</t>
  </si>
  <si>
    <t>199226</t>
  </si>
  <si>
    <t>185375</t>
  </si>
  <si>
    <t>199218</t>
  </si>
  <si>
    <t>203648</t>
  </si>
  <si>
    <t>199661</t>
  </si>
  <si>
    <t>185668</t>
  </si>
  <si>
    <t>183184</t>
  </si>
  <si>
    <t>202419</t>
  </si>
  <si>
    <t>223267</t>
  </si>
  <si>
    <t>250308</t>
  </si>
  <si>
    <t>243186</t>
  </si>
  <si>
    <t>256626</t>
  </si>
  <si>
    <t>277441</t>
  </si>
  <si>
    <t>288123</t>
  </si>
  <si>
    <t>278369</t>
  </si>
  <si>
    <t>276173</t>
  </si>
  <si>
    <t>263997</t>
  </si>
  <si>
    <t>235236</t>
  </si>
  <si>
    <t>256023</t>
  </si>
  <si>
    <t>279141</t>
  </si>
  <si>
    <t>Base 1993</t>
  </si>
  <si>
    <t>empalme base 2004</t>
  </si>
  <si>
    <t>Empleo Total</t>
  </si>
  <si>
    <t>36-73 jic / 74 propias</t>
  </si>
  <si>
    <t>Índice 1997</t>
  </si>
  <si>
    <t>Argentina</t>
  </si>
  <si>
    <t>IPT</t>
  </si>
  <si>
    <t>Total</t>
  </si>
  <si>
    <t>IPT Arg</t>
  </si>
  <si>
    <t>Nonfinancial corporate sector</t>
  </si>
  <si>
    <t>2012=100</t>
  </si>
  <si>
    <t xml:space="preserve"> </t>
  </si>
  <si>
    <t>IPC + IPI Total</t>
  </si>
  <si>
    <t>Relación TCP con JIC</t>
  </si>
  <si>
    <t>IPI Total</t>
  </si>
  <si>
    <t>ENGE Sin imp</t>
  </si>
  <si>
    <t>Enge con imp</t>
  </si>
  <si>
    <t>TCP arb</t>
  </si>
  <si>
    <t>TCP arb/TCC</t>
  </si>
  <si>
    <t>TCP</t>
  </si>
  <si>
    <t>IPC + ENGE ind Sin imp</t>
  </si>
  <si>
    <t>IPC + ENGE ind con imp</t>
  </si>
  <si>
    <t>IPC + ENGE ind sin imp</t>
  </si>
</sst>
</file>

<file path=xl/styles.xml><?xml version="1.0" encoding="utf-8"?>
<styleSheet xmlns="http://schemas.openxmlformats.org/spreadsheetml/2006/main">
  <numFmts count="3">
    <numFmt numFmtId="6" formatCode="&quot;$&quot;\ #,##0;[Red]&quot;$&quot;\ \-#,##0"/>
    <numFmt numFmtId="164" formatCode="#0.000"/>
    <numFmt numFmtId="165" formatCode="0.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indexed="8"/>
      <name val="Helvetica Neue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auto="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NumberFormat="1" applyAlignment="1">
      <alignment horizontal="right"/>
    </xf>
    <xf numFmtId="2" fontId="0" fillId="0" borderId="0" xfId="0" applyNumberFormat="1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0" fillId="2" borderId="0" xfId="0" applyFill="1"/>
    <xf numFmtId="164" fontId="0" fillId="0" borderId="0" xfId="0" applyNumberFormat="1" applyAlignment="1">
      <alignment horizontal="right"/>
    </xf>
    <xf numFmtId="0" fontId="0" fillId="3" borderId="0" xfId="0" applyFill="1"/>
    <xf numFmtId="0" fontId="0" fillId="0" borderId="0" xfId="0" applyFill="1"/>
    <xf numFmtId="17" fontId="0" fillId="0" borderId="0" xfId="0" applyNumberFormat="1"/>
    <xf numFmtId="0" fontId="1" fillId="0" borderId="6" xfId="0" applyFont="1" applyBorder="1" applyAlignment="1">
      <alignment horizontal="center"/>
    </xf>
    <xf numFmtId="0" fontId="4" fillId="4" borderId="10" xfId="0" applyNumberFormat="1" applyFont="1" applyFill="1" applyBorder="1" applyAlignment="1"/>
    <xf numFmtId="0" fontId="1" fillId="0" borderId="6" xfId="0" applyFont="1" applyBorder="1" applyAlignment="1">
      <alignment horizontal="center"/>
    </xf>
    <xf numFmtId="0" fontId="0" fillId="0" borderId="0" xfId="0" applyFont="1"/>
    <xf numFmtId="0" fontId="0" fillId="0" borderId="1" xfId="0" applyFont="1" applyBorder="1"/>
    <xf numFmtId="0" fontId="0" fillId="0" borderId="0" xfId="0" applyFont="1" applyBorder="1"/>
    <xf numFmtId="0" fontId="0" fillId="0" borderId="2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" fontId="0" fillId="0" borderId="0" xfId="0" applyNumberFormat="1" applyFont="1"/>
    <xf numFmtId="1" fontId="0" fillId="0" borderId="0" xfId="0" applyNumberFormat="1" applyFont="1" applyAlignment="1">
      <alignment horizontal="right"/>
    </xf>
    <xf numFmtId="1" fontId="0" fillId="0" borderId="0" xfId="0" applyNumberFormat="1"/>
    <xf numFmtId="6" fontId="1" fillId="0" borderId="0" xfId="0" applyNumberFormat="1" applyFont="1"/>
    <xf numFmtId="1" fontId="0" fillId="0" borderId="0" xfId="0" applyNumberFormat="1" applyFill="1"/>
    <xf numFmtId="1" fontId="0" fillId="0" borderId="0" xfId="0" applyNumberFormat="1" applyFill="1" applyAlignment="1">
      <alignment horizontal="right"/>
    </xf>
    <xf numFmtId="1" fontId="0" fillId="3" borderId="0" xfId="0" applyNumberFormat="1" applyFill="1"/>
    <xf numFmtId="165" fontId="0" fillId="0" borderId="0" xfId="1" applyNumberFormat="1" applyFont="1"/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2" fontId="0" fillId="0" borderId="15" xfId="0" applyNumberFormat="1" applyBorder="1"/>
    <xf numFmtId="0" fontId="0" fillId="0" borderId="16" xfId="0" applyBorder="1"/>
    <xf numFmtId="2" fontId="0" fillId="0" borderId="17" xfId="0" applyNumberFormat="1" applyBorder="1"/>
    <xf numFmtId="0" fontId="0" fillId="0" borderId="18" xfId="0" applyBorder="1"/>
    <xf numFmtId="0" fontId="0" fillId="0" borderId="19" xfId="0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5" xfId="0" applyBorder="1"/>
    <xf numFmtId="0" fontId="0" fillId="0" borderId="17" xfId="0" applyBorder="1"/>
    <xf numFmtId="0" fontId="1" fillId="0" borderId="20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</cellXfs>
  <cellStyles count="2">
    <cellStyle name="Normal" xfId="0" builtinId="0"/>
    <cellStyle name="Porcentual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AR"/>
  <c:chart>
    <c:title>
      <c:tx>
        <c:rich>
          <a:bodyPr/>
          <a:lstStyle/>
          <a:p>
            <a:pPr>
              <a:defRPr sz="1200"/>
            </a:pPr>
            <a:r>
              <a:rPr lang="es-AR" sz="1200"/>
              <a:t>Nivel de sobrevaluación</a:t>
            </a:r>
            <a:r>
              <a:rPr lang="es-AR" sz="1200" baseline="0"/>
              <a:t> </a:t>
            </a:r>
            <a:endParaRPr lang="es-AR" sz="1200"/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Propia!$O$2</c:f>
              <c:strCache>
                <c:ptCount val="1"/>
                <c:pt idx="0">
                  <c:v>IPC + IPI Indutrial</c:v>
                </c:pt>
              </c:strCache>
            </c:strRef>
          </c:tx>
          <c:marker>
            <c:symbol val="none"/>
          </c:marker>
          <c:cat>
            <c:numRef>
              <c:f>Propia!$A$6:$A$39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cat>
          <c:val>
            <c:numRef>
              <c:f>Propia!$P$6:$P$39</c:f>
              <c:numCache>
                <c:formatCode>General</c:formatCode>
                <c:ptCount val="34"/>
                <c:pt idx="0">
                  <c:v>1.7789473684210526</c:v>
                </c:pt>
                <c:pt idx="1">
                  <c:v>1.9131568441801592</c:v>
                </c:pt>
                <c:pt idx="2">
                  <c:v>1.9919410337204368</c:v>
                </c:pt>
                <c:pt idx="3">
                  <c:v>1.812286513626661</c:v>
                </c:pt>
                <c:pt idx="4">
                  <c:v>1.8687151188972959</c:v>
                </c:pt>
                <c:pt idx="5">
                  <c:v>1.7000474801981353</c:v>
                </c:pt>
                <c:pt idx="6">
                  <c:v>1.685374159314438</c:v>
                </c:pt>
                <c:pt idx="7">
                  <c:v>1.8340256585881971</c:v>
                </c:pt>
                <c:pt idx="8">
                  <c:v>1.9454084233794759</c:v>
                </c:pt>
                <c:pt idx="9">
                  <c:v>1.969548988287749</c:v>
                </c:pt>
                <c:pt idx="10">
                  <c:v>2.07506215718321</c:v>
                </c:pt>
                <c:pt idx="11">
                  <c:v>0.9878569077654118</c:v>
                </c:pt>
                <c:pt idx="12">
                  <c:v>1.2203726073554317</c:v>
                </c:pt>
                <c:pt idx="13">
                  <c:v>1.1864913695642187</c:v>
                </c:pt>
                <c:pt idx="14">
                  <c:v>1.3365480054804391</c:v>
                </c:pt>
                <c:pt idx="15">
                  <c:v>1.338963645468773</c:v>
                </c:pt>
                <c:pt idx="16">
                  <c:v>1.4660056128130363</c:v>
                </c:pt>
                <c:pt idx="17">
                  <c:v>1.7567536765626846</c:v>
                </c:pt>
                <c:pt idx="18">
                  <c:v>1.8560602356886906</c:v>
                </c:pt>
                <c:pt idx="19">
                  <c:v>1.970194289553262</c:v>
                </c:pt>
                <c:pt idx="20">
                  <c:v>2.2329701375199633</c:v>
                </c:pt>
                <c:pt idx="21">
                  <c:v>2.6653416736710631</c:v>
                </c:pt>
                <c:pt idx="22">
                  <c:v>2.7033828654964647</c:v>
                </c:pt>
                <c:pt idx="23">
                  <c:v>2.6271995764157046</c:v>
                </c:pt>
                <c:pt idx="24">
                  <c:v>2.7022073712409491</c:v>
                </c:pt>
                <c:pt idx="25">
                  <c:v>2.4755423072155343</c:v>
                </c:pt>
                <c:pt idx="26">
                  <c:v>2.8574908824602399</c:v>
                </c:pt>
                <c:pt idx="27">
                  <c:v>2.2564224655826211</c:v>
                </c:pt>
                <c:pt idx="28">
                  <c:v>1.9972435468691783</c:v>
                </c:pt>
                <c:pt idx="29">
                  <c:v>2.1965631085732156</c:v>
                </c:pt>
                <c:pt idx="30">
                  <c:v>1.9271025058175717</c:v>
                </c:pt>
                <c:pt idx="31">
                  <c:v>2.4592579512218151</c:v>
                </c:pt>
                <c:pt idx="32">
                  <c:v>2.3526659310782723</c:v>
                </c:pt>
                <c:pt idx="33">
                  <c:v>2.4947202402501221</c:v>
                </c:pt>
              </c:numCache>
            </c:numRef>
          </c:val>
        </c:ser>
        <c:ser>
          <c:idx val="1"/>
          <c:order val="1"/>
          <c:tx>
            <c:strRef>
              <c:f>Propia!$U$2</c:f>
              <c:strCache>
                <c:ptCount val="1"/>
                <c:pt idx="0">
                  <c:v>IPC</c:v>
                </c:pt>
              </c:strCache>
            </c:strRef>
          </c:tx>
          <c:marker>
            <c:symbol val="none"/>
          </c:marker>
          <c:cat>
            <c:numRef>
              <c:f>Propia!$A$6:$A$39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cat>
          <c:val>
            <c:numRef>
              <c:f>Propia!$V$6:$V$39</c:f>
              <c:numCache>
                <c:formatCode>General</c:formatCode>
                <c:ptCount val="34"/>
                <c:pt idx="0">
                  <c:v>1.6736842105263159</c:v>
                </c:pt>
                <c:pt idx="1">
                  <c:v>1.9474984870391483</c:v>
                </c:pt>
                <c:pt idx="2">
                  <c:v>2.0914715565656103</c:v>
                </c:pt>
                <c:pt idx="3">
                  <c:v>2.1023888797972661</c:v>
                </c:pt>
                <c:pt idx="4">
                  <c:v>2.134975496961447</c:v>
                </c:pt>
                <c:pt idx="5">
                  <c:v>2.0564885624307663</c:v>
                </c:pt>
                <c:pt idx="6">
                  <c:v>2.0208386813698409</c:v>
                </c:pt>
                <c:pt idx="7">
                  <c:v>2.0087871590547901</c:v>
                </c:pt>
                <c:pt idx="8">
                  <c:v>1.9423035935336923</c:v>
                </c:pt>
                <c:pt idx="9">
                  <c:v>1.8611115419708282</c:v>
                </c:pt>
                <c:pt idx="10">
                  <c:v>1.7902180676639496</c:v>
                </c:pt>
                <c:pt idx="11">
                  <c:v>0.70666669349483613</c:v>
                </c:pt>
                <c:pt idx="12">
                  <c:v>0.84022548517927742</c:v>
                </c:pt>
                <c:pt idx="13">
                  <c:v>0.85450706963062117</c:v>
                </c:pt>
                <c:pt idx="14">
                  <c:v>0.90633533785729736</c:v>
                </c:pt>
                <c:pt idx="15">
                  <c:v>0.92109773922113236</c:v>
                </c:pt>
                <c:pt idx="16">
                  <c:v>1.0454066467015708</c:v>
                </c:pt>
                <c:pt idx="17">
                  <c:v>1.2535363609397792</c:v>
                </c:pt>
                <c:pt idx="18">
                  <c:v>1.223506415269924</c:v>
                </c:pt>
                <c:pt idx="19">
                  <c:v>1.4283430244428186</c:v>
                </c:pt>
                <c:pt idx="20">
                  <c:v>1.6176849656438348</c:v>
                </c:pt>
                <c:pt idx="21">
                  <c:v>1.7692344305123848</c:v>
                </c:pt>
                <c:pt idx="22">
                  <c:v>1.8144801867546825</c:v>
                </c:pt>
                <c:pt idx="23">
                  <c:v>1.6721521353828568</c:v>
                </c:pt>
                <c:pt idx="24">
                  <c:v>1.8053785023032782</c:v>
                </c:pt>
                <c:pt idx="25">
                  <c:v>1.6086191011435709</c:v>
                </c:pt>
                <c:pt idx="26">
                  <c:v>1.7791852471276572</c:v>
                </c:pt>
                <c:pt idx="27">
                  <c:v>1.3724598669517263</c:v>
                </c:pt>
                <c:pt idx="28">
                  <c:v>1.2069656238798829</c:v>
                </c:pt>
                <c:pt idx="29">
                  <c:v>1.1563280804061584</c:v>
                </c:pt>
                <c:pt idx="30">
                  <c:v>1.2168706754518868</c:v>
                </c:pt>
                <c:pt idx="31">
                  <c:v>1.4114269246629136</c:v>
                </c:pt>
                <c:pt idx="32">
                  <c:v>1.4162976812329129</c:v>
                </c:pt>
                <c:pt idx="33">
                  <c:v>1.3848087383302172</c:v>
                </c:pt>
              </c:numCache>
            </c:numRef>
          </c:val>
        </c:ser>
        <c:ser>
          <c:idx val="2"/>
          <c:order val="2"/>
          <c:tx>
            <c:strRef>
              <c:f>Propia!$Q$2</c:f>
              <c:strCache>
                <c:ptCount val="1"/>
                <c:pt idx="0">
                  <c:v>IPC + ENGE ind</c:v>
                </c:pt>
              </c:strCache>
            </c:strRef>
          </c:tx>
          <c:marker>
            <c:symbol val="none"/>
          </c:marker>
          <c:cat>
            <c:numRef>
              <c:f>Propia!$A$6:$A$39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cat>
          <c:val>
            <c:numRef>
              <c:f>Propia!$R$6:$R$38</c:f>
              <c:numCache>
                <c:formatCode>General</c:formatCode>
                <c:ptCount val="33"/>
                <c:pt idx="0">
                  <c:v>1.7789473684210526</c:v>
                </c:pt>
                <c:pt idx="1">
                  <c:v>1.9131568441801592</c:v>
                </c:pt>
                <c:pt idx="2">
                  <c:v>1.9919410337204364</c:v>
                </c:pt>
                <c:pt idx="3">
                  <c:v>1.7730735188309783</c:v>
                </c:pt>
                <c:pt idx="4">
                  <c:v>1.9662556131801372</c:v>
                </c:pt>
                <c:pt idx="5">
                  <c:v>1.9053477957357963</c:v>
                </c:pt>
                <c:pt idx="6">
                  <c:v>1.9788625745962525</c:v>
                </c:pt>
                <c:pt idx="7">
                  <c:v>1.9833329206247536</c:v>
                </c:pt>
                <c:pt idx="8">
                  <c:v>2.2338710193157207</c:v>
                </c:pt>
                <c:pt idx="9">
                  <c:v>2.0682954110826883</c:v>
                </c:pt>
                <c:pt idx="10">
                  <c:v>2.045311221569182</c:v>
                </c:pt>
                <c:pt idx="11">
                  <c:v>0.70535241086625622</c:v>
                </c:pt>
                <c:pt idx="12">
                  <c:v>0.91989072685950057</c:v>
                </c:pt>
                <c:pt idx="13">
                  <c:v>0.85890961352577688</c:v>
                </c:pt>
                <c:pt idx="14">
                  <c:v>0.98093157703784273</c:v>
                </c:pt>
                <c:pt idx="15">
                  <c:v>1.002130657718072</c:v>
                </c:pt>
                <c:pt idx="16">
                  <c:v>1.1117832216380032</c:v>
                </c:pt>
                <c:pt idx="17">
                  <c:v>1.3125132287864931</c:v>
                </c:pt>
                <c:pt idx="18">
                  <c:v>1.456685583062628</c:v>
                </c:pt>
                <c:pt idx="19">
                  <c:v>1.7508857802216451</c:v>
                </c:pt>
                <c:pt idx="20">
                  <c:v>1.9491100426942576</c:v>
                </c:pt>
                <c:pt idx="21">
                  <c:v>2.3398663720615511</c:v>
                </c:pt>
                <c:pt idx="22">
                  <c:v>2.4217207959048546</c:v>
                </c:pt>
                <c:pt idx="23">
                  <c:v>2.2707482799068561</c:v>
                </c:pt>
                <c:pt idx="24">
                  <c:v>2.2415399406047145</c:v>
                </c:pt>
                <c:pt idx="25">
                  <c:v>2.0995885414746667</c:v>
                </c:pt>
                <c:pt idx="26">
                  <c:v>2.1922968924163579</c:v>
                </c:pt>
                <c:pt idx="27">
                  <c:v>1.4108473909989461</c:v>
                </c:pt>
                <c:pt idx="28">
                  <c:v>1.2653720991218751</c:v>
                </c:pt>
                <c:pt idx="29">
                  <c:v>1.459417708417488</c:v>
                </c:pt>
                <c:pt idx="30">
                  <c:v>1.7654627529802369</c:v>
                </c:pt>
                <c:pt idx="31">
                  <c:v>1.9010572451411365</c:v>
                </c:pt>
                <c:pt idx="32">
                  <c:v>2.121166482475124</c:v>
                </c:pt>
              </c:numCache>
            </c:numRef>
          </c:val>
        </c:ser>
        <c:marker val="1"/>
        <c:axId val="49869952"/>
        <c:axId val="49871488"/>
      </c:lineChart>
      <c:catAx>
        <c:axId val="49869952"/>
        <c:scaling>
          <c:orientation val="minMax"/>
        </c:scaling>
        <c:axPos val="b"/>
        <c:numFmt formatCode="General" sourceLinked="1"/>
        <c:majorTickMark val="none"/>
        <c:tickLblPos val="nextTo"/>
        <c:crossAx val="49871488"/>
        <c:crosses val="autoZero"/>
        <c:auto val="1"/>
        <c:lblAlgn val="ctr"/>
        <c:lblOffset val="100"/>
      </c:catAx>
      <c:valAx>
        <c:axId val="49871488"/>
        <c:scaling>
          <c:orientation val="minMax"/>
          <c:max val="3"/>
          <c:min val="0.5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49869952"/>
        <c:crosses val="autoZero"/>
        <c:crossBetween val="between"/>
      </c:valAx>
    </c:plotArea>
    <c:legend>
      <c:legendPos val="b"/>
    </c:legend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AR"/>
  <c:chart>
    <c:title>
      <c:tx>
        <c:rich>
          <a:bodyPr/>
          <a:lstStyle/>
          <a:p>
            <a:pPr>
              <a:defRPr sz="1200"/>
            </a:pPr>
            <a:r>
              <a:rPr lang="es-AR" sz="1200"/>
              <a:t>Nivel de sobrevaluación</a:t>
            </a:r>
            <a:r>
              <a:rPr lang="es-AR" sz="1200" baseline="0"/>
              <a:t> </a:t>
            </a:r>
            <a:endParaRPr lang="es-AR" sz="1200"/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Propia!$O$2</c:f>
              <c:strCache>
                <c:ptCount val="1"/>
                <c:pt idx="0">
                  <c:v>IPC + IPI Indutrial</c:v>
                </c:pt>
              </c:strCache>
            </c:strRef>
          </c:tx>
          <c:marker>
            <c:symbol val="none"/>
          </c:marker>
          <c:cat>
            <c:numRef>
              <c:f>Propia!$A$6:$A$45</c:f>
              <c:numCache>
                <c:formatCode>General</c:formatCode>
                <c:ptCount val="4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 formatCode="mmm\-yy">
                  <c:v>45658</c:v>
                </c:pt>
                <c:pt idx="35" formatCode="mmm\-yy">
                  <c:v>45689</c:v>
                </c:pt>
                <c:pt idx="36" formatCode="mmm\-yy">
                  <c:v>45717</c:v>
                </c:pt>
                <c:pt idx="37" formatCode="mmm\-yy">
                  <c:v>45748</c:v>
                </c:pt>
                <c:pt idx="38" formatCode="mmm\-yy">
                  <c:v>45778</c:v>
                </c:pt>
                <c:pt idx="39" formatCode="mmm\-yy">
                  <c:v>45809</c:v>
                </c:pt>
              </c:numCache>
            </c:numRef>
          </c:cat>
          <c:val>
            <c:numRef>
              <c:f>Propia!$P$6:$P$45</c:f>
              <c:numCache>
                <c:formatCode>General</c:formatCode>
                <c:ptCount val="40"/>
                <c:pt idx="0">
                  <c:v>1.7789473684210526</c:v>
                </c:pt>
                <c:pt idx="1">
                  <c:v>1.9131568441801592</c:v>
                </c:pt>
                <c:pt idx="2">
                  <c:v>1.9919410337204368</c:v>
                </c:pt>
                <c:pt idx="3">
                  <c:v>1.812286513626661</c:v>
                </c:pt>
                <c:pt idx="4">
                  <c:v>1.8687151188972959</c:v>
                </c:pt>
                <c:pt idx="5">
                  <c:v>1.7000474801981353</c:v>
                </c:pt>
                <c:pt idx="6">
                  <c:v>1.685374159314438</c:v>
                </c:pt>
                <c:pt idx="7">
                  <c:v>1.8340256585881971</c:v>
                </c:pt>
                <c:pt idx="8">
                  <c:v>1.9454084233794759</c:v>
                </c:pt>
                <c:pt idx="9">
                  <c:v>1.969548988287749</c:v>
                </c:pt>
                <c:pt idx="10">
                  <c:v>2.07506215718321</c:v>
                </c:pt>
                <c:pt idx="11">
                  <c:v>0.9878569077654118</c:v>
                </c:pt>
                <c:pt idx="12">
                  <c:v>1.2203726073554317</c:v>
                </c:pt>
                <c:pt idx="13">
                  <c:v>1.1864913695642187</c:v>
                </c:pt>
                <c:pt idx="14">
                  <c:v>1.3365480054804391</c:v>
                </c:pt>
                <c:pt idx="15">
                  <c:v>1.338963645468773</c:v>
                </c:pt>
                <c:pt idx="16">
                  <c:v>1.4660056128130363</c:v>
                </c:pt>
                <c:pt idx="17">
                  <c:v>1.7567536765626846</c:v>
                </c:pt>
                <c:pt idx="18">
                  <c:v>1.8560602356886906</c:v>
                </c:pt>
                <c:pt idx="19">
                  <c:v>1.970194289553262</c:v>
                </c:pt>
                <c:pt idx="20">
                  <c:v>2.2329701375199633</c:v>
                </c:pt>
                <c:pt idx="21">
                  <c:v>2.6653416736710631</c:v>
                </c:pt>
                <c:pt idx="22">
                  <c:v>2.7033828654964647</c:v>
                </c:pt>
                <c:pt idx="23">
                  <c:v>2.6271995764157046</c:v>
                </c:pt>
                <c:pt idx="24">
                  <c:v>2.7022073712409491</c:v>
                </c:pt>
                <c:pt idx="25">
                  <c:v>2.4755423072155343</c:v>
                </c:pt>
                <c:pt idx="26">
                  <c:v>2.8574908824602399</c:v>
                </c:pt>
                <c:pt idx="27">
                  <c:v>2.2564224655826211</c:v>
                </c:pt>
                <c:pt idx="28">
                  <c:v>1.9972435468691783</c:v>
                </c:pt>
                <c:pt idx="29">
                  <c:v>2.1965631085732156</c:v>
                </c:pt>
                <c:pt idx="30">
                  <c:v>1.9271025058175717</c:v>
                </c:pt>
                <c:pt idx="31">
                  <c:v>2.4592579512218151</c:v>
                </c:pt>
                <c:pt idx="32">
                  <c:v>2.3526659310782723</c:v>
                </c:pt>
                <c:pt idx="33">
                  <c:v>2.4947202402501221</c:v>
                </c:pt>
                <c:pt idx="34">
                  <c:v>2.2875850656646803</c:v>
                </c:pt>
                <c:pt idx="35">
                  <c:v>2.3080268942733935</c:v>
                </c:pt>
                <c:pt idx="36">
                  <c:v>2.348693804576135</c:v>
                </c:pt>
                <c:pt idx="37">
                  <c:v>2.3303897267596421</c:v>
                </c:pt>
                <c:pt idx="38">
                  <c:v>2.3642214415802654</c:v>
                </c:pt>
                <c:pt idx="39">
                  <c:v>2.3310929057039056</c:v>
                </c:pt>
              </c:numCache>
            </c:numRef>
          </c:val>
        </c:ser>
        <c:ser>
          <c:idx val="1"/>
          <c:order val="1"/>
          <c:tx>
            <c:strRef>
              <c:f>Propia!$U$2</c:f>
              <c:strCache>
                <c:ptCount val="1"/>
                <c:pt idx="0">
                  <c:v>IPC</c:v>
                </c:pt>
              </c:strCache>
            </c:strRef>
          </c:tx>
          <c:marker>
            <c:symbol val="none"/>
          </c:marker>
          <c:cat>
            <c:numRef>
              <c:f>Propia!$A$6:$A$45</c:f>
              <c:numCache>
                <c:formatCode>General</c:formatCode>
                <c:ptCount val="4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 formatCode="mmm\-yy">
                  <c:v>45658</c:v>
                </c:pt>
                <c:pt idx="35" formatCode="mmm\-yy">
                  <c:v>45689</c:v>
                </c:pt>
                <c:pt idx="36" formatCode="mmm\-yy">
                  <c:v>45717</c:v>
                </c:pt>
                <c:pt idx="37" formatCode="mmm\-yy">
                  <c:v>45748</c:v>
                </c:pt>
                <c:pt idx="38" formatCode="mmm\-yy">
                  <c:v>45778</c:v>
                </c:pt>
                <c:pt idx="39" formatCode="mmm\-yy">
                  <c:v>45809</c:v>
                </c:pt>
              </c:numCache>
            </c:numRef>
          </c:cat>
          <c:val>
            <c:numRef>
              <c:f>Propia!$V$6:$V$45</c:f>
              <c:numCache>
                <c:formatCode>General</c:formatCode>
                <c:ptCount val="40"/>
                <c:pt idx="0">
                  <c:v>1.6736842105263159</c:v>
                </c:pt>
                <c:pt idx="1">
                  <c:v>1.9474984870391483</c:v>
                </c:pt>
                <c:pt idx="2">
                  <c:v>2.0914715565656103</c:v>
                </c:pt>
                <c:pt idx="3">
                  <c:v>2.1023888797972661</c:v>
                </c:pt>
                <c:pt idx="4">
                  <c:v>2.134975496961447</c:v>
                </c:pt>
                <c:pt idx="5">
                  <c:v>2.0564885624307663</c:v>
                </c:pt>
                <c:pt idx="6">
                  <c:v>2.0208386813698409</c:v>
                </c:pt>
                <c:pt idx="7">
                  <c:v>2.0087871590547901</c:v>
                </c:pt>
                <c:pt idx="8">
                  <c:v>1.9423035935336923</c:v>
                </c:pt>
                <c:pt idx="9">
                  <c:v>1.8611115419708282</c:v>
                </c:pt>
                <c:pt idx="10">
                  <c:v>1.7902180676639496</c:v>
                </c:pt>
                <c:pt idx="11">
                  <c:v>0.70666669349483613</c:v>
                </c:pt>
                <c:pt idx="12">
                  <c:v>0.84022548517927742</c:v>
                </c:pt>
                <c:pt idx="13">
                  <c:v>0.85450706963062117</c:v>
                </c:pt>
                <c:pt idx="14">
                  <c:v>0.90633533785729736</c:v>
                </c:pt>
                <c:pt idx="15">
                  <c:v>0.92109773922113236</c:v>
                </c:pt>
                <c:pt idx="16">
                  <c:v>1.0454066467015708</c:v>
                </c:pt>
                <c:pt idx="17">
                  <c:v>1.2535363609397792</c:v>
                </c:pt>
                <c:pt idx="18">
                  <c:v>1.223506415269924</c:v>
                </c:pt>
                <c:pt idx="19">
                  <c:v>1.4283430244428186</c:v>
                </c:pt>
                <c:pt idx="20">
                  <c:v>1.6176849656438348</c:v>
                </c:pt>
                <c:pt idx="21">
                  <c:v>1.7692344305123848</c:v>
                </c:pt>
                <c:pt idx="22">
                  <c:v>1.8144801867546825</c:v>
                </c:pt>
                <c:pt idx="23">
                  <c:v>1.6721521353828568</c:v>
                </c:pt>
                <c:pt idx="24">
                  <c:v>1.8053785023032782</c:v>
                </c:pt>
                <c:pt idx="25">
                  <c:v>1.6086191011435709</c:v>
                </c:pt>
                <c:pt idx="26">
                  <c:v>1.7791852471276572</c:v>
                </c:pt>
                <c:pt idx="27">
                  <c:v>1.3724598669517263</c:v>
                </c:pt>
                <c:pt idx="28">
                  <c:v>1.2069656238798829</c:v>
                </c:pt>
                <c:pt idx="29">
                  <c:v>1.1563280804061584</c:v>
                </c:pt>
                <c:pt idx="30">
                  <c:v>1.2168706754518868</c:v>
                </c:pt>
                <c:pt idx="31">
                  <c:v>1.4114269246629136</c:v>
                </c:pt>
                <c:pt idx="32">
                  <c:v>1.4162976812329129</c:v>
                </c:pt>
                <c:pt idx="33">
                  <c:v>1.3848087383302172</c:v>
                </c:pt>
                <c:pt idx="34">
                  <c:v>1.2698288719894861</c:v>
                </c:pt>
                <c:pt idx="35">
                  <c:v>1.2811760452829357</c:v>
                </c:pt>
                <c:pt idx="36">
                  <c:v>1.3037500765668928</c:v>
                </c:pt>
                <c:pt idx="37">
                  <c:v>1.2935895597688993</c:v>
                </c:pt>
                <c:pt idx="38">
                  <c:v>1.3123694027189843</c:v>
                </c:pt>
                <c:pt idx="39">
                  <c:v>1.2939798914505507</c:v>
                </c:pt>
              </c:numCache>
            </c:numRef>
          </c:val>
        </c:ser>
        <c:ser>
          <c:idx val="2"/>
          <c:order val="2"/>
          <c:tx>
            <c:strRef>
              <c:f>Propia!$Q$2</c:f>
              <c:strCache>
                <c:ptCount val="1"/>
                <c:pt idx="0">
                  <c:v>IPC + ENGE ind</c:v>
                </c:pt>
              </c:strCache>
            </c:strRef>
          </c:tx>
          <c:marker>
            <c:symbol val="none"/>
          </c:marker>
          <c:cat>
            <c:numRef>
              <c:f>Propia!$A$6:$A$45</c:f>
              <c:numCache>
                <c:formatCode>General</c:formatCode>
                <c:ptCount val="4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 formatCode="mmm\-yy">
                  <c:v>45658</c:v>
                </c:pt>
                <c:pt idx="35" formatCode="mmm\-yy">
                  <c:v>45689</c:v>
                </c:pt>
                <c:pt idx="36" formatCode="mmm\-yy">
                  <c:v>45717</c:v>
                </c:pt>
                <c:pt idx="37" formatCode="mmm\-yy">
                  <c:v>45748</c:v>
                </c:pt>
                <c:pt idx="38" formatCode="mmm\-yy">
                  <c:v>45778</c:v>
                </c:pt>
                <c:pt idx="39" formatCode="mmm\-yy">
                  <c:v>45809</c:v>
                </c:pt>
              </c:numCache>
            </c:numRef>
          </c:cat>
          <c:val>
            <c:numRef>
              <c:f>Propia!$R$6:$R$45</c:f>
              <c:numCache>
                <c:formatCode>General</c:formatCode>
                <c:ptCount val="40"/>
                <c:pt idx="0">
                  <c:v>1.7789473684210526</c:v>
                </c:pt>
                <c:pt idx="1">
                  <c:v>1.9131568441801592</c:v>
                </c:pt>
                <c:pt idx="2">
                  <c:v>1.9919410337204364</c:v>
                </c:pt>
                <c:pt idx="3">
                  <c:v>1.7730735188309783</c:v>
                </c:pt>
                <c:pt idx="4">
                  <c:v>1.9662556131801372</c:v>
                </c:pt>
                <c:pt idx="5">
                  <c:v>1.9053477957357963</c:v>
                </c:pt>
                <c:pt idx="6">
                  <c:v>1.9788625745962525</c:v>
                </c:pt>
                <c:pt idx="7">
                  <c:v>1.9833329206247536</c:v>
                </c:pt>
                <c:pt idx="8">
                  <c:v>2.2338710193157207</c:v>
                </c:pt>
                <c:pt idx="9">
                  <c:v>2.0682954110826883</c:v>
                </c:pt>
                <c:pt idx="10">
                  <c:v>2.045311221569182</c:v>
                </c:pt>
                <c:pt idx="11">
                  <c:v>0.70535241086625622</c:v>
                </c:pt>
                <c:pt idx="12">
                  <c:v>0.91989072685950057</c:v>
                </c:pt>
                <c:pt idx="13">
                  <c:v>0.85890961352577688</c:v>
                </c:pt>
                <c:pt idx="14">
                  <c:v>0.98093157703784273</c:v>
                </c:pt>
                <c:pt idx="15">
                  <c:v>1.002130657718072</c:v>
                </c:pt>
                <c:pt idx="16">
                  <c:v>1.1117832216380032</c:v>
                </c:pt>
                <c:pt idx="17">
                  <c:v>1.3125132287864931</c:v>
                </c:pt>
                <c:pt idx="18">
                  <c:v>1.456685583062628</c:v>
                </c:pt>
                <c:pt idx="19">
                  <c:v>1.7508857802216451</c:v>
                </c:pt>
                <c:pt idx="20">
                  <c:v>1.9491100426942576</c:v>
                </c:pt>
                <c:pt idx="21">
                  <c:v>2.3398663720615511</c:v>
                </c:pt>
                <c:pt idx="22">
                  <c:v>2.4217207959048546</c:v>
                </c:pt>
                <c:pt idx="23">
                  <c:v>2.2707482799068561</c:v>
                </c:pt>
                <c:pt idx="24">
                  <c:v>2.2415399406047145</c:v>
                </c:pt>
                <c:pt idx="25">
                  <c:v>2.0995885414746667</c:v>
                </c:pt>
                <c:pt idx="26">
                  <c:v>2.1922968924163579</c:v>
                </c:pt>
                <c:pt idx="27">
                  <c:v>1.4108473909989461</c:v>
                </c:pt>
                <c:pt idx="28">
                  <c:v>1.2653720991218751</c:v>
                </c:pt>
                <c:pt idx="29">
                  <c:v>1.459417708417488</c:v>
                </c:pt>
                <c:pt idx="30">
                  <c:v>1.7654627529802369</c:v>
                </c:pt>
                <c:pt idx="31">
                  <c:v>1.9010572451411365</c:v>
                </c:pt>
                <c:pt idx="32">
                  <c:v>2.121166482475124</c:v>
                </c:pt>
                <c:pt idx="33">
                  <c:v>2.0865936474709219</c:v>
                </c:pt>
                <c:pt idx="34">
                  <c:v>1.9133449871664581</c:v>
                </c:pt>
                <c:pt idx="35">
                  <c:v>1.9304426115932167</c:v>
                </c:pt>
                <c:pt idx="36">
                  <c:v>1.964456572489875</c:v>
                </c:pt>
                <c:pt idx="37">
                  <c:v>1.9491469710850786</c:v>
                </c:pt>
                <c:pt idx="38">
                  <c:v>1.9774439480722388</c:v>
                </c:pt>
                <c:pt idx="39">
                  <c:v>1.9497351126708415</c:v>
                </c:pt>
              </c:numCache>
            </c:numRef>
          </c:val>
        </c:ser>
        <c:marker val="1"/>
        <c:axId val="49922432"/>
        <c:axId val="49923968"/>
      </c:lineChart>
      <c:catAx>
        <c:axId val="49922432"/>
        <c:scaling>
          <c:orientation val="minMax"/>
        </c:scaling>
        <c:axPos val="b"/>
        <c:numFmt formatCode="General" sourceLinked="1"/>
        <c:majorTickMark val="none"/>
        <c:tickLblPos val="nextTo"/>
        <c:crossAx val="49923968"/>
        <c:crosses val="autoZero"/>
        <c:auto val="1"/>
        <c:lblAlgn val="ctr"/>
        <c:lblOffset val="100"/>
        <c:tickLblSkip val="1"/>
      </c:catAx>
      <c:valAx>
        <c:axId val="49923968"/>
        <c:scaling>
          <c:orientation val="minMax"/>
          <c:max val="3"/>
          <c:min val="0.5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49922432"/>
        <c:crosses val="autoZero"/>
        <c:crossBetween val="between"/>
      </c:valAx>
    </c:plotArea>
    <c:legend>
      <c:legendPos val="b"/>
    </c:legend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AR"/>
  <c:chart>
    <c:title>
      <c:tx>
        <c:rich>
          <a:bodyPr/>
          <a:lstStyle/>
          <a:p>
            <a:pPr>
              <a:defRPr sz="1200"/>
            </a:pPr>
            <a:r>
              <a:rPr lang="es-AR" sz="1200"/>
              <a:t>Nivel de sobrevaluación</a:t>
            </a:r>
            <a:r>
              <a:rPr lang="es-AR" sz="1200" baseline="0"/>
              <a:t> </a:t>
            </a:r>
            <a:endParaRPr lang="es-AR" sz="1200"/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Propia!$O$2</c:f>
              <c:strCache>
                <c:ptCount val="1"/>
                <c:pt idx="0">
                  <c:v>IPC + IPI Indutrial</c:v>
                </c:pt>
              </c:strCache>
            </c:strRef>
          </c:tx>
          <c:marker>
            <c:symbol val="none"/>
          </c:marker>
          <c:cat>
            <c:numRef>
              <c:f>Propia!$A$6:$A$39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cat>
          <c:val>
            <c:numRef>
              <c:f>Propia!$P$6:$P$39</c:f>
              <c:numCache>
                <c:formatCode>General</c:formatCode>
                <c:ptCount val="34"/>
                <c:pt idx="0">
                  <c:v>1.7789473684210526</c:v>
                </c:pt>
                <c:pt idx="1">
                  <c:v>1.9131568441801592</c:v>
                </c:pt>
                <c:pt idx="2">
                  <c:v>1.9919410337204368</c:v>
                </c:pt>
                <c:pt idx="3">
                  <c:v>1.812286513626661</c:v>
                </c:pt>
                <c:pt idx="4">
                  <c:v>1.8687151188972959</c:v>
                </c:pt>
                <c:pt idx="5">
                  <c:v>1.7000474801981353</c:v>
                </c:pt>
                <c:pt idx="6">
                  <c:v>1.685374159314438</c:v>
                </c:pt>
                <c:pt idx="7">
                  <c:v>1.8340256585881971</c:v>
                </c:pt>
                <c:pt idx="8">
                  <c:v>1.9454084233794759</c:v>
                </c:pt>
                <c:pt idx="9">
                  <c:v>1.969548988287749</c:v>
                </c:pt>
                <c:pt idx="10">
                  <c:v>2.07506215718321</c:v>
                </c:pt>
                <c:pt idx="11">
                  <c:v>0.9878569077654118</c:v>
                </c:pt>
                <c:pt idx="12">
                  <c:v>1.2203726073554317</c:v>
                </c:pt>
                <c:pt idx="13">
                  <c:v>1.1864913695642187</c:v>
                </c:pt>
                <c:pt idx="14">
                  <c:v>1.3365480054804391</c:v>
                </c:pt>
                <c:pt idx="15">
                  <c:v>1.338963645468773</c:v>
                </c:pt>
                <c:pt idx="16">
                  <c:v>1.4660056128130363</c:v>
                </c:pt>
                <c:pt idx="17">
                  <c:v>1.7567536765626846</c:v>
                </c:pt>
                <c:pt idx="18">
                  <c:v>1.8560602356886906</c:v>
                </c:pt>
                <c:pt idx="19">
                  <c:v>1.970194289553262</c:v>
                </c:pt>
                <c:pt idx="20">
                  <c:v>2.2329701375199633</c:v>
                </c:pt>
                <c:pt idx="21">
                  <c:v>2.6653416736710631</c:v>
                </c:pt>
                <c:pt idx="22">
                  <c:v>2.7033828654964647</c:v>
                </c:pt>
                <c:pt idx="23">
                  <c:v>2.6271995764157046</c:v>
                </c:pt>
                <c:pt idx="24">
                  <c:v>2.7022073712409491</c:v>
                </c:pt>
                <c:pt idx="25">
                  <c:v>2.4755423072155343</c:v>
                </c:pt>
                <c:pt idx="26">
                  <c:v>2.8574908824602399</c:v>
                </c:pt>
                <c:pt idx="27">
                  <c:v>2.2564224655826211</c:v>
                </c:pt>
                <c:pt idx="28">
                  <c:v>1.9972435468691783</c:v>
                </c:pt>
                <c:pt idx="29">
                  <c:v>2.1965631085732156</c:v>
                </c:pt>
                <c:pt idx="30">
                  <c:v>1.9271025058175717</c:v>
                </c:pt>
                <c:pt idx="31">
                  <c:v>2.4592579512218151</c:v>
                </c:pt>
                <c:pt idx="32">
                  <c:v>2.3526659310782723</c:v>
                </c:pt>
                <c:pt idx="33">
                  <c:v>2.4947202402501221</c:v>
                </c:pt>
              </c:numCache>
            </c:numRef>
          </c:val>
        </c:ser>
        <c:ser>
          <c:idx val="1"/>
          <c:order val="1"/>
          <c:tx>
            <c:strRef>
              <c:f>Propia!$U$2</c:f>
              <c:strCache>
                <c:ptCount val="1"/>
                <c:pt idx="0">
                  <c:v>IPC</c:v>
                </c:pt>
              </c:strCache>
            </c:strRef>
          </c:tx>
          <c:marker>
            <c:symbol val="none"/>
          </c:marker>
          <c:cat>
            <c:numRef>
              <c:f>Propia!$A$6:$A$39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cat>
          <c:val>
            <c:numRef>
              <c:f>Propia!$V$6:$V$39</c:f>
              <c:numCache>
                <c:formatCode>General</c:formatCode>
                <c:ptCount val="34"/>
                <c:pt idx="0">
                  <c:v>1.6736842105263159</c:v>
                </c:pt>
                <c:pt idx="1">
                  <c:v>1.9474984870391483</c:v>
                </c:pt>
                <c:pt idx="2">
                  <c:v>2.0914715565656103</c:v>
                </c:pt>
                <c:pt idx="3">
                  <c:v>2.1023888797972661</c:v>
                </c:pt>
                <c:pt idx="4">
                  <c:v>2.134975496961447</c:v>
                </c:pt>
                <c:pt idx="5">
                  <c:v>2.0564885624307663</c:v>
                </c:pt>
                <c:pt idx="6">
                  <c:v>2.0208386813698409</c:v>
                </c:pt>
                <c:pt idx="7">
                  <c:v>2.0087871590547901</c:v>
                </c:pt>
                <c:pt idx="8">
                  <c:v>1.9423035935336923</c:v>
                </c:pt>
                <c:pt idx="9">
                  <c:v>1.8611115419708282</c:v>
                </c:pt>
                <c:pt idx="10">
                  <c:v>1.7902180676639496</c:v>
                </c:pt>
                <c:pt idx="11">
                  <c:v>0.70666669349483613</c:v>
                </c:pt>
                <c:pt idx="12">
                  <c:v>0.84022548517927742</c:v>
                </c:pt>
                <c:pt idx="13">
                  <c:v>0.85450706963062117</c:v>
                </c:pt>
                <c:pt idx="14">
                  <c:v>0.90633533785729736</c:v>
                </c:pt>
                <c:pt idx="15">
                  <c:v>0.92109773922113236</c:v>
                </c:pt>
                <c:pt idx="16">
                  <c:v>1.0454066467015708</c:v>
                </c:pt>
                <c:pt idx="17">
                  <c:v>1.2535363609397792</c:v>
                </c:pt>
                <c:pt idx="18">
                  <c:v>1.223506415269924</c:v>
                </c:pt>
                <c:pt idx="19">
                  <c:v>1.4283430244428186</c:v>
                </c:pt>
                <c:pt idx="20">
                  <c:v>1.6176849656438348</c:v>
                </c:pt>
                <c:pt idx="21">
                  <c:v>1.7692344305123848</c:v>
                </c:pt>
                <c:pt idx="22">
                  <c:v>1.8144801867546825</c:v>
                </c:pt>
                <c:pt idx="23">
                  <c:v>1.6721521353828568</c:v>
                </c:pt>
                <c:pt idx="24">
                  <c:v>1.8053785023032782</c:v>
                </c:pt>
                <c:pt idx="25">
                  <c:v>1.6086191011435709</c:v>
                </c:pt>
                <c:pt idx="26">
                  <c:v>1.7791852471276572</c:v>
                </c:pt>
                <c:pt idx="27">
                  <c:v>1.3724598669517263</c:v>
                </c:pt>
                <c:pt idx="28">
                  <c:v>1.2069656238798829</c:v>
                </c:pt>
                <c:pt idx="29">
                  <c:v>1.1563280804061584</c:v>
                </c:pt>
                <c:pt idx="30">
                  <c:v>1.2168706754518868</c:v>
                </c:pt>
                <c:pt idx="31">
                  <c:v>1.4114269246629136</c:v>
                </c:pt>
                <c:pt idx="32">
                  <c:v>1.4162976812329129</c:v>
                </c:pt>
                <c:pt idx="33">
                  <c:v>1.3848087383302172</c:v>
                </c:pt>
              </c:numCache>
            </c:numRef>
          </c:val>
        </c:ser>
        <c:ser>
          <c:idx val="2"/>
          <c:order val="2"/>
          <c:tx>
            <c:v>IPC ENGE Sin Imp</c:v>
          </c:tx>
          <c:marker>
            <c:symbol val="none"/>
          </c:marker>
          <c:cat>
            <c:numRef>
              <c:f>Propia!$A$6:$A$39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cat>
          <c:val>
            <c:numRef>
              <c:f>Propia!$R$6:$R$38</c:f>
              <c:numCache>
                <c:formatCode>General</c:formatCode>
                <c:ptCount val="33"/>
                <c:pt idx="0">
                  <c:v>1.7789473684210526</c:v>
                </c:pt>
                <c:pt idx="1">
                  <c:v>1.9131568441801592</c:v>
                </c:pt>
                <c:pt idx="2">
                  <c:v>1.9919410337204364</c:v>
                </c:pt>
                <c:pt idx="3">
                  <c:v>1.7730735188309783</c:v>
                </c:pt>
                <c:pt idx="4">
                  <c:v>1.9662556131801372</c:v>
                </c:pt>
                <c:pt idx="5">
                  <c:v>1.9053477957357963</c:v>
                </c:pt>
                <c:pt idx="6">
                  <c:v>1.9788625745962525</c:v>
                </c:pt>
                <c:pt idx="7">
                  <c:v>1.9833329206247536</c:v>
                </c:pt>
                <c:pt idx="8">
                  <c:v>2.2338710193157207</c:v>
                </c:pt>
                <c:pt idx="9">
                  <c:v>2.0682954110826883</c:v>
                </c:pt>
                <c:pt idx="10">
                  <c:v>2.045311221569182</c:v>
                </c:pt>
                <c:pt idx="11">
                  <c:v>0.70535241086625622</c:v>
                </c:pt>
                <c:pt idx="12">
                  <c:v>0.91989072685950057</c:v>
                </c:pt>
                <c:pt idx="13">
                  <c:v>0.85890961352577688</c:v>
                </c:pt>
                <c:pt idx="14">
                  <c:v>0.98093157703784273</c:v>
                </c:pt>
                <c:pt idx="15">
                  <c:v>1.002130657718072</c:v>
                </c:pt>
                <c:pt idx="16">
                  <c:v>1.1117832216380032</c:v>
                </c:pt>
                <c:pt idx="17">
                  <c:v>1.3125132287864931</c:v>
                </c:pt>
                <c:pt idx="18">
                  <c:v>1.456685583062628</c:v>
                </c:pt>
                <c:pt idx="19">
                  <c:v>1.7508857802216451</c:v>
                </c:pt>
                <c:pt idx="20">
                  <c:v>1.9491100426942576</c:v>
                </c:pt>
                <c:pt idx="21">
                  <c:v>2.3398663720615511</c:v>
                </c:pt>
                <c:pt idx="22">
                  <c:v>2.4217207959048546</c:v>
                </c:pt>
                <c:pt idx="23">
                  <c:v>2.2707482799068561</c:v>
                </c:pt>
                <c:pt idx="24">
                  <c:v>2.2415399406047145</c:v>
                </c:pt>
                <c:pt idx="25">
                  <c:v>2.0995885414746667</c:v>
                </c:pt>
                <c:pt idx="26">
                  <c:v>2.1922968924163579</c:v>
                </c:pt>
                <c:pt idx="27">
                  <c:v>1.4108473909989461</c:v>
                </c:pt>
                <c:pt idx="28">
                  <c:v>1.2653720991218751</c:v>
                </c:pt>
                <c:pt idx="29">
                  <c:v>1.459417708417488</c:v>
                </c:pt>
                <c:pt idx="30">
                  <c:v>1.7654627529802369</c:v>
                </c:pt>
                <c:pt idx="31">
                  <c:v>1.9010572451411365</c:v>
                </c:pt>
                <c:pt idx="32">
                  <c:v>2.121166482475124</c:v>
                </c:pt>
              </c:numCache>
            </c:numRef>
          </c:val>
        </c:ser>
        <c:ser>
          <c:idx val="3"/>
          <c:order val="3"/>
          <c:tx>
            <c:v>IPC ENGE Con Imp</c:v>
          </c:tx>
          <c:marker>
            <c:symbol val="none"/>
          </c:marker>
          <c:val>
            <c:numRef>
              <c:f>Propia!$T$6:$T$39</c:f>
              <c:numCache>
                <c:formatCode>General</c:formatCode>
                <c:ptCount val="34"/>
                <c:pt idx="0">
                  <c:v>1.7789473684210526</c:v>
                </c:pt>
                <c:pt idx="1">
                  <c:v>1.9131568441801592</c:v>
                </c:pt>
                <c:pt idx="2">
                  <c:v>1.9919410337204368</c:v>
                </c:pt>
                <c:pt idx="3">
                  <c:v>1.8110002251161339</c:v>
                </c:pt>
                <c:pt idx="4">
                  <c:v>2.0293440285762934</c:v>
                </c:pt>
                <c:pt idx="5">
                  <c:v>1.9078950521472093</c:v>
                </c:pt>
                <c:pt idx="6">
                  <c:v>1.8703955083416464</c:v>
                </c:pt>
                <c:pt idx="7">
                  <c:v>1.8931814242327205</c:v>
                </c:pt>
                <c:pt idx="8">
                  <c:v>2.0248189185776195</c:v>
                </c:pt>
                <c:pt idx="9">
                  <c:v>1.8747383538958065</c:v>
                </c:pt>
                <c:pt idx="10">
                  <c:v>1.8675769576627701</c:v>
                </c:pt>
                <c:pt idx="11">
                  <c:v>0.65536680799798308</c:v>
                </c:pt>
                <c:pt idx="12">
                  <c:v>0.7969012862949385</c:v>
                </c:pt>
                <c:pt idx="13">
                  <c:v>0.77244949204235835</c:v>
                </c:pt>
                <c:pt idx="14">
                  <c:v>0.85242007922004848</c:v>
                </c:pt>
                <c:pt idx="15">
                  <c:v>0.87083823446578856</c:v>
                </c:pt>
                <c:pt idx="16">
                  <c:v>0.96612347499117734</c:v>
                </c:pt>
                <c:pt idx="17">
                  <c:v>1.1405559093856437</c:v>
                </c:pt>
                <c:pt idx="18">
                  <c:v>1.2201903703242638</c:v>
                </c:pt>
                <c:pt idx="19">
                  <c:v>1.4935170149294767</c:v>
                </c:pt>
                <c:pt idx="20">
                  <c:v>1.681903398429653</c:v>
                </c:pt>
                <c:pt idx="21">
                  <c:v>1.8768981594076617</c:v>
                </c:pt>
                <c:pt idx="22">
                  <c:v>1.9652199506874954</c:v>
                </c:pt>
                <c:pt idx="23">
                  <c:v>1.830563118694966</c:v>
                </c:pt>
                <c:pt idx="24">
                  <c:v>1.9148984251957393</c:v>
                </c:pt>
                <c:pt idx="25">
                  <c:v>1.7964397371010854</c:v>
                </c:pt>
                <c:pt idx="26">
                  <c:v>1.9285178545587749</c:v>
                </c:pt>
                <c:pt idx="27">
                  <c:v>1.3900996352489614</c:v>
                </c:pt>
                <c:pt idx="28">
                  <c:v>1.1723300330099728</c:v>
                </c:pt>
                <c:pt idx="29">
                  <c:v>1.3130857189371254</c:v>
                </c:pt>
                <c:pt idx="30">
                  <c:v>1.4279478149104858</c:v>
                </c:pt>
                <c:pt idx="31">
                  <c:v>1.6910218468623062</c:v>
                </c:pt>
                <c:pt idx="32">
                  <c:v>2.0157569087567051</c:v>
                </c:pt>
                <c:pt idx="33">
                  <c:v>1.9829021415374406</c:v>
                </c:pt>
              </c:numCache>
            </c:numRef>
          </c:val>
        </c:ser>
        <c:marker val="1"/>
        <c:axId val="85442560"/>
        <c:axId val="85444096"/>
      </c:lineChart>
      <c:catAx>
        <c:axId val="85442560"/>
        <c:scaling>
          <c:orientation val="minMax"/>
        </c:scaling>
        <c:axPos val="b"/>
        <c:numFmt formatCode="General" sourceLinked="1"/>
        <c:majorTickMark val="none"/>
        <c:tickLblPos val="nextTo"/>
        <c:crossAx val="85444096"/>
        <c:crosses val="autoZero"/>
        <c:auto val="1"/>
        <c:lblAlgn val="ctr"/>
        <c:lblOffset val="100"/>
      </c:catAx>
      <c:valAx>
        <c:axId val="85444096"/>
        <c:scaling>
          <c:orientation val="minMax"/>
          <c:max val="3"/>
          <c:min val="0.5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85442560"/>
        <c:crosses val="autoZero"/>
        <c:crossBetween val="between"/>
      </c:valAx>
    </c:plotArea>
    <c:legend>
      <c:legendPos val="b"/>
    </c:legend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AR"/>
  <c:chart>
    <c:title>
      <c:tx>
        <c:rich>
          <a:bodyPr/>
          <a:lstStyle/>
          <a:p>
            <a:pPr>
              <a:defRPr sz="1200"/>
            </a:pPr>
            <a:r>
              <a:rPr lang="es-AR" sz="1200"/>
              <a:t>Nivel de sobrevaluación</a:t>
            </a:r>
            <a:r>
              <a:rPr lang="es-AR" sz="1200" baseline="0"/>
              <a:t> </a:t>
            </a:r>
            <a:endParaRPr lang="es-AR" sz="1200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'Largo Plazo'!$Q$2</c:f>
              <c:strCache>
                <c:ptCount val="1"/>
                <c:pt idx="0">
                  <c:v>IPC + IPI Indutrial</c:v>
                </c:pt>
              </c:strCache>
            </c:strRef>
          </c:tx>
          <c:marker>
            <c:symbol val="none"/>
          </c:marker>
          <c:cat>
            <c:numRef>
              <c:f>'Largo Plazo'!$A$7:$A$95</c:f>
              <c:numCache>
                <c:formatCode>General</c:formatCode>
                <c:ptCount val="89"/>
                <c:pt idx="0">
                  <c:v>1936</c:v>
                </c:pt>
                <c:pt idx="1">
                  <c:v>1937</c:v>
                </c:pt>
                <c:pt idx="2">
                  <c:v>1938</c:v>
                </c:pt>
                <c:pt idx="3">
                  <c:v>1939</c:v>
                </c:pt>
                <c:pt idx="4">
                  <c:v>1940</c:v>
                </c:pt>
                <c:pt idx="5">
                  <c:v>1941</c:v>
                </c:pt>
                <c:pt idx="6">
                  <c:v>1942</c:v>
                </c:pt>
                <c:pt idx="7">
                  <c:v>1943</c:v>
                </c:pt>
                <c:pt idx="8">
                  <c:v>1944</c:v>
                </c:pt>
                <c:pt idx="9">
                  <c:v>1945</c:v>
                </c:pt>
                <c:pt idx="10">
                  <c:v>1946</c:v>
                </c:pt>
                <c:pt idx="11">
                  <c:v>1947</c:v>
                </c:pt>
                <c:pt idx="12">
                  <c:v>1948</c:v>
                </c:pt>
                <c:pt idx="13">
                  <c:v>1949</c:v>
                </c:pt>
                <c:pt idx="14">
                  <c:v>1950</c:v>
                </c:pt>
                <c:pt idx="15">
                  <c:v>1951</c:v>
                </c:pt>
                <c:pt idx="16">
                  <c:v>1952</c:v>
                </c:pt>
                <c:pt idx="17">
                  <c:v>1953</c:v>
                </c:pt>
                <c:pt idx="18">
                  <c:v>1954</c:v>
                </c:pt>
                <c:pt idx="19">
                  <c:v>1955</c:v>
                </c:pt>
                <c:pt idx="20">
                  <c:v>1956</c:v>
                </c:pt>
                <c:pt idx="21">
                  <c:v>1957</c:v>
                </c:pt>
                <c:pt idx="22">
                  <c:v>1958</c:v>
                </c:pt>
                <c:pt idx="23">
                  <c:v>1959</c:v>
                </c:pt>
                <c:pt idx="24">
                  <c:v>1960</c:v>
                </c:pt>
                <c:pt idx="25">
                  <c:v>1961</c:v>
                </c:pt>
                <c:pt idx="26">
                  <c:v>1962</c:v>
                </c:pt>
                <c:pt idx="27">
                  <c:v>1963</c:v>
                </c:pt>
                <c:pt idx="28">
                  <c:v>1964</c:v>
                </c:pt>
                <c:pt idx="29">
                  <c:v>1965</c:v>
                </c:pt>
                <c:pt idx="30">
                  <c:v>1966</c:v>
                </c:pt>
                <c:pt idx="31">
                  <c:v>1967</c:v>
                </c:pt>
                <c:pt idx="32">
                  <c:v>1968</c:v>
                </c:pt>
                <c:pt idx="33">
                  <c:v>1969</c:v>
                </c:pt>
                <c:pt idx="34">
                  <c:v>1970</c:v>
                </c:pt>
                <c:pt idx="35">
                  <c:v>1971</c:v>
                </c:pt>
                <c:pt idx="36">
                  <c:v>1972</c:v>
                </c:pt>
                <c:pt idx="37">
                  <c:v>1973</c:v>
                </c:pt>
                <c:pt idx="38">
                  <c:v>1974</c:v>
                </c:pt>
                <c:pt idx="39">
                  <c:v>1975</c:v>
                </c:pt>
                <c:pt idx="40">
                  <c:v>1976</c:v>
                </c:pt>
                <c:pt idx="41">
                  <c:v>1977</c:v>
                </c:pt>
                <c:pt idx="42">
                  <c:v>1978</c:v>
                </c:pt>
                <c:pt idx="43">
                  <c:v>1979</c:v>
                </c:pt>
                <c:pt idx="44">
                  <c:v>1980</c:v>
                </c:pt>
                <c:pt idx="45">
                  <c:v>1981</c:v>
                </c:pt>
                <c:pt idx="46">
                  <c:v>1982</c:v>
                </c:pt>
                <c:pt idx="47">
                  <c:v>1983</c:v>
                </c:pt>
                <c:pt idx="48">
                  <c:v>1984</c:v>
                </c:pt>
                <c:pt idx="49">
                  <c:v>1985</c:v>
                </c:pt>
                <c:pt idx="50">
                  <c:v>1986</c:v>
                </c:pt>
                <c:pt idx="51">
                  <c:v>1987</c:v>
                </c:pt>
                <c:pt idx="52">
                  <c:v>1988</c:v>
                </c:pt>
                <c:pt idx="53">
                  <c:v>1989</c:v>
                </c:pt>
                <c:pt idx="54">
                  <c:v>1990</c:v>
                </c:pt>
                <c:pt idx="55">
                  <c:v>1991</c:v>
                </c:pt>
                <c:pt idx="56">
                  <c:v>1992</c:v>
                </c:pt>
                <c:pt idx="57">
                  <c:v>1993</c:v>
                </c:pt>
                <c:pt idx="58">
                  <c:v>1994</c:v>
                </c:pt>
                <c:pt idx="59">
                  <c:v>1995</c:v>
                </c:pt>
                <c:pt idx="60">
                  <c:v>1996</c:v>
                </c:pt>
                <c:pt idx="61">
                  <c:v>1997</c:v>
                </c:pt>
                <c:pt idx="62">
                  <c:v>1998</c:v>
                </c:pt>
                <c:pt idx="63">
                  <c:v>1999</c:v>
                </c:pt>
                <c:pt idx="64">
                  <c:v>2000</c:v>
                </c:pt>
                <c:pt idx="65">
                  <c:v>2001</c:v>
                </c:pt>
                <c:pt idx="66">
                  <c:v>2002</c:v>
                </c:pt>
                <c:pt idx="67">
                  <c:v>2003</c:v>
                </c:pt>
                <c:pt idx="68">
                  <c:v>2004</c:v>
                </c:pt>
                <c:pt idx="69">
                  <c:v>2005</c:v>
                </c:pt>
                <c:pt idx="70">
                  <c:v>2006</c:v>
                </c:pt>
                <c:pt idx="71">
                  <c:v>2007</c:v>
                </c:pt>
                <c:pt idx="72">
                  <c:v>2008</c:v>
                </c:pt>
                <c:pt idx="73">
                  <c:v>2009</c:v>
                </c:pt>
                <c:pt idx="74">
                  <c:v>2010</c:v>
                </c:pt>
                <c:pt idx="75">
                  <c:v>2011</c:v>
                </c:pt>
                <c:pt idx="76">
                  <c:v>2012</c:v>
                </c:pt>
                <c:pt idx="77">
                  <c:v>2013</c:v>
                </c:pt>
                <c:pt idx="78">
                  <c:v>2014</c:v>
                </c:pt>
                <c:pt idx="79">
                  <c:v>2015</c:v>
                </c:pt>
                <c:pt idx="80">
                  <c:v>2016</c:v>
                </c:pt>
                <c:pt idx="81">
                  <c:v>2017</c:v>
                </c:pt>
                <c:pt idx="82">
                  <c:v>2018</c:v>
                </c:pt>
                <c:pt idx="83">
                  <c:v>2019</c:v>
                </c:pt>
                <c:pt idx="84">
                  <c:v>2020</c:v>
                </c:pt>
                <c:pt idx="85">
                  <c:v>2021</c:v>
                </c:pt>
                <c:pt idx="86">
                  <c:v>2022</c:v>
                </c:pt>
                <c:pt idx="87">
                  <c:v>2023</c:v>
                </c:pt>
                <c:pt idx="88">
                  <c:v>2024</c:v>
                </c:pt>
              </c:numCache>
            </c:numRef>
          </c:cat>
          <c:val>
            <c:numRef>
              <c:f>'Largo Plazo'!$S$7:$S$101</c:f>
              <c:numCache>
                <c:formatCode>General</c:formatCode>
                <c:ptCount val="95"/>
                <c:pt idx="0">
                  <c:v>0.96825573348316019</c:v>
                </c:pt>
                <c:pt idx="1">
                  <c:v>0.93944362858161734</c:v>
                </c:pt>
                <c:pt idx="2">
                  <c:v>0.85269809932006879</c:v>
                </c:pt>
                <c:pt idx="3">
                  <c:v>0.87645330255158382</c:v>
                </c:pt>
                <c:pt idx="4">
                  <c:v>0.97881653682670333</c:v>
                </c:pt>
                <c:pt idx="5">
                  <c:v>1.0585899023706884</c:v>
                </c:pt>
                <c:pt idx="6">
                  <c:v>1.0499409471166801</c:v>
                </c:pt>
                <c:pt idx="7">
                  <c:v>1.1463410527250122</c:v>
                </c:pt>
                <c:pt idx="8">
                  <c:v>1.2089887664631991</c:v>
                </c:pt>
                <c:pt idx="9">
                  <c:v>1.4116303050722701</c:v>
                </c:pt>
                <c:pt idx="10">
                  <c:v>1.2868393882784246</c:v>
                </c:pt>
                <c:pt idx="11">
                  <c:v>1.2359788764194628</c:v>
                </c:pt>
                <c:pt idx="12">
                  <c:v>1.3482511359452549</c:v>
                </c:pt>
                <c:pt idx="13">
                  <c:v>1.9109192578831935</c:v>
                </c:pt>
                <c:pt idx="14">
                  <c:v>2.007274534701605</c:v>
                </c:pt>
                <c:pt idx="15">
                  <c:v>1.9517601943294458</c:v>
                </c:pt>
                <c:pt idx="16">
                  <c:v>2.3871614693868914</c:v>
                </c:pt>
                <c:pt idx="17">
                  <c:v>2.9835350057285406</c:v>
                </c:pt>
                <c:pt idx="18">
                  <c:v>2.9369253821127224</c:v>
                </c:pt>
                <c:pt idx="19">
                  <c:v>2.417685586427933</c:v>
                </c:pt>
                <c:pt idx="20">
                  <c:v>1.0365038980759487</c:v>
                </c:pt>
                <c:pt idx="21">
                  <c:v>1.2309003794092925</c:v>
                </c:pt>
                <c:pt idx="22">
                  <c:v>1.5283111736373851</c:v>
                </c:pt>
                <c:pt idx="23">
                  <c:v>0.82653480726779582</c:v>
                </c:pt>
                <c:pt idx="24">
                  <c:v>0.92311530273962339</c:v>
                </c:pt>
                <c:pt idx="25">
                  <c:v>0.95457784738086149</c:v>
                </c:pt>
                <c:pt idx="26">
                  <c:v>0.95051162986616256</c:v>
                </c:pt>
                <c:pt idx="27">
                  <c:v>0.98487870700727809</c:v>
                </c:pt>
                <c:pt idx="28">
                  <c:v>1.1319988075954941</c:v>
                </c:pt>
                <c:pt idx="29">
                  <c:v>1.1508837691350082</c:v>
                </c:pt>
                <c:pt idx="30">
                  <c:v>1.2034714110556886</c:v>
                </c:pt>
                <c:pt idx="31">
                  <c:v>0.99135769816950747</c:v>
                </c:pt>
                <c:pt idx="32">
                  <c:v>1.007881519023667</c:v>
                </c:pt>
                <c:pt idx="33">
                  <c:v>0.95594480794569814</c:v>
                </c:pt>
                <c:pt idx="34">
                  <c:v>0.94689262817646702</c:v>
                </c:pt>
                <c:pt idx="35">
                  <c:v>1.0396573649342893</c:v>
                </c:pt>
                <c:pt idx="36">
                  <c:v>0.93229369970245868</c:v>
                </c:pt>
                <c:pt idx="37">
                  <c:v>1.3105796631085227</c:v>
                </c:pt>
                <c:pt idx="38">
                  <c:v>1.4570951148989366</c:v>
                </c:pt>
                <c:pt idx="39">
                  <c:v>1.4552622466500817</c:v>
                </c:pt>
                <c:pt idx="40">
                  <c:v>1.0938368099101532</c:v>
                </c:pt>
                <c:pt idx="41">
                  <c:v>1.1895404578103683</c:v>
                </c:pt>
                <c:pt idx="42">
                  <c:v>1.5978013153790249</c:v>
                </c:pt>
                <c:pt idx="43">
                  <c:v>1.8798488332385204</c:v>
                </c:pt>
                <c:pt idx="44">
                  <c:v>2.2743389001105059</c:v>
                </c:pt>
                <c:pt idx="45">
                  <c:v>1.8571524621711077</c:v>
                </c:pt>
                <c:pt idx="46">
                  <c:v>0.95682535980680727</c:v>
                </c:pt>
                <c:pt idx="47">
                  <c:v>0.84817252300866219</c:v>
                </c:pt>
                <c:pt idx="48">
                  <c:v>0.96329911273386037</c:v>
                </c:pt>
                <c:pt idx="49">
                  <c:v>0.894984016989961</c:v>
                </c:pt>
                <c:pt idx="50">
                  <c:v>0.9506704842241962</c:v>
                </c:pt>
                <c:pt idx="51">
                  <c:v>0.93968905056232621</c:v>
                </c:pt>
                <c:pt idx="52">
                  <c:v>1.1016956814007328</c:v>
                </c:pt>
                <c:pt idx="53">
                  <c:v>0.74740848593183351</c:v>
                </c:pt>
                <c:pt idx="54">
                  <c:v>1.6178223034457415</c:v>
                </c:pt>
                <c:pt idx="55">
                  <c:v>1.7615747200291214</c:v>
                </c:pt>
                <c:pt idx="56">
                  <c:v>1.8944735476630399</c:v>
                </c:pt>
                <c:pt idx="57">
                  <c:v>1.9724883552373171</c:v>
                </c:pt>
                <c:pt idx="58">
                  <c:v>1.7945882854803044</c:v>
                </c:pt>
                <c:pt idx="59">
                  <c:v>1.8504658264889959</c:v>
                </c:pt>
                <c:pt idx="60">
                  <c:v>1.6834453436496626</c:v>
                </c:pt>
                <c:pt idx="61">
                  <c:v>1.6689153178678777</c:v>
                </c:pt>
                <c:pt idx="62">
                  <c:v>1.8161151326929235</c:v>
                </c:pt>
                <c:pt idx="63">
                  <c:v>1.9264101679403218</c:v>
                </c:pt>
                <c:pt idx="64">
                  <c:v>1.9503149835770992</c:v>
                </c:pt>
                <c:pt idx="65">
                  <c:v>2.0547977435821796</c:v>
                </c:pt>
                <c:pt idx="66">
                  <c:v>0.97820980351443998</c:v>
                </c:pt>
                <c:pt idx="67">
                  <c:v>1.2084548268796951</c:v>
                </c:pt>
                <c:pt idx="68">
                  <c:v>1.1749044627510075</c:v>
                </c:pt>
                <c:pt idx="69">
                  <c:v>1.3234956920897629</c:v>
                </c:pt>
                <c:pt idx="70">
                  <c:v>1.3258877416870019</c:v>
                </c:pt>
                <c:pt idx="71">
                  <c:v>1.4516890565707876</c:v>
                </c:pt>
                <c:pt idx="72">
                  <c:v>1.7395977648837202</c:v>
                </c:pt>
                <c:pt idx="73">
                  <c:v>1.8379345269458365</c:v>
                </c:pt>
                <c:pt idx="74">
                  <c:v>1.9509539830305453</c:v>
                </c:pt>
                <c:pt idx="75">
                  <c:v>2.2111636435463669</c:v>
                </c:pt>
                <c:pt idx="76">
                  <c:v>2.6393127733432529</c:v>
                </c:pt>
                <c:pt idx="77">
                  <c:v>2.67698246668493</c:v>
                </c:pt>
                <c:pt idx="78">
                  <c:v>2.6015431599827576</c:v>
                </c:pt>
                <c:pt idx="79">
                  <c:v>2.6758184519418213</c:v>
                </c:pt>
                <c:pt idx="80">
                  <c:v>2.4513669286483859</c:v>
                </c:pt>
                <c:pt idx="81">
                  <c:v>2.8295855125401626</c:v>
                </c:pt>
                <c:pt idx="82">
                  <c:v>2.2343869434451555</c:v>
                </c:pt>
                <c:pt idx="83">
                  <c:v>1.977739085686826</c:v>
                </c:pt>
                <c:pt idx="84">
                  <c:v>2.1751121543553822</c:v>
                </c:pt>
                <c:pt idx="85">
                  <c:v>1.9082830202931078</c:v>
                </c:pt>
                <c:pt idx="86">
                  <c:v>2.4352416006259197</c:v>
                </c:pt>
                <c:pt idx="87">
                  <c:v>2.3296905250995206</c:v>
                </c:pt>
                <c:pt idx="88">
                  <c:v>2.4703575759355654</c:v>
                </c:pt>
                <c:pt idx="89">
                  <c:v>2.265245219237574</c:v>
                </c:pt>
                <c:pt idx="90">
                  <c:v>2.2854874192866053</c:v>
                </c:pt>
                <c:pt idx="91">
                  <c:v>2.3257571891531441</c:v>
                </c:pt>
                <c:pt idx="92">
                  <c:v>2.3076318632849597</c:v>
                </c:pt>
                <c:pt idx="93">
                  <c:v>2.341133188069032</c:v>
                </c:pt>
                <c:pt idx="94">
                  <c:v>2.3083281752016931</c:v>
                </c:pt>
              </c:numCache>
            </c:numRef>
          </c:val>
        </c:ser>
        <c:ser>
          <c:idx val="1"/>
          <c:order val="1"/>
          <c:tx>
            <c:strRef>
              <c:f>'Largo Plazo'!$AC$2</c:f>
              <c:strCache>
                <c:ptCount val="1"/>
                <c:pt idx="0">
                  <c:v>IPC</c:v>
                </c:pt>
              </c:strCache>
            </c:strRef>
          </c:tx>
          <c:marker>
            <c:symbol val="none"/>
          </c:marker>
          <c:cat>
            <c:numRef>
              <c:f>'Largo Plazo'!$A$7:$A$95</c:f>
              <c:numCache>
                <c:formatCode>General</c:formatCode>
                <c:ptCount val="89"/>
                <c:pt idx="0">
                  <c:v>1936</c:v>
                </c:pt>
                <c:pt idx="1">
                  <c:v>1937</c:v>
                </c:pt>
                <c:pt idx="2">
                  <c:v>1938</c:v>
                </c:pt>
                <c:pt idx="3">
                  <c:v>1939</c:v>
                </c:pt>
                <c:pt idx="4">
                  <c:v>1940</c:v>
                </c:pt>
                <c:pt idx="5">
                  <c:v>1941</c:v>
                </c:pt>
                <c:pt idx="6">
                  <c:v>1942</c:v>
                </c:pt>
                <c:pt idx="7">
                  <c:v>1943</c:v>
                </c:pt>
                <c:pt idx="8">
                  <c:v>1944</c:v>
                </c:pt>
                <c:pt idx="9">
                  <c:v>1945</c:v>
                </c:pt>
                <c:pt idx="10">
                  <c:v>1946</c:v>
                </c:pt>
                <c:pt idx="11">
                  <c:v>1947</c:v>
                </c:pt>
                <c:pt idx="12">
                  <c:v>1948</c:v>
                </c:pt>
                <c:pt idx="13">
                  <c:v>1949</c:v>
                </c:pt>
                <c:pt idx="14">
                  <c:v>1950</c:v>
                </c:pt>
                <c:pt idx="15">
                  <c:v>1951</c:v>
                </c:pt>
                <c:pt idx="16">
                  <c:v>1952</c:v>
                </c:pt>
                <c:pt idx="17">
                  <c:v>1953</c:v>
                </c:pt>
                <c:pt idx="18">
                  <c:v>1954</c:v>
                </c:pt>
                <c:pt idx="19">
                  <c:v>1955</c:v>
                </c:pt>
                <c:pt idx="20">
                  <c:v>1956</c:v>
                </c:pt>
                <c:pt idx="21">
                  <c:v>1957</c:v>
                </c:pt>
                <c:pt idx="22">
                  <c:v>1958</c:v>
                </c:pt>
                <c:pt idx="23">
                  <c:v>1959</c:v>
                </c:pt>
                <c:pt idx="24">
                  <c:v>1960</c:v>
                </c:pt>
                <c:pt idx="25">
                  <c:v>1961</c:v>
                </c:pt>
                <c:pt idx="26">
                  <c:v>1962</c:v>
                </c:pt>
                <c:pt idx="27">
                  <c:v>1963</c:v>
                </c:pt>
                <c:pt idx="28">
                  <c:v>1964</c:v>
                </c:pt>
                <c:pt idx="29">
                  <c:v>1965</c:v>
                </c:pt>
                <c:pt idx="30">
                  <c:v>1966</c:v>
                </c:pt>
                <c:pt idx="31">
                  <c:v>1967</c:v>
                </c:pt>
                <c:pt idx="32">
                  <c:v>1968</c:v>
                </c:pt>
                <c:pt idx="33">
                  <c:v>1969</c:v>
                </c:pt>
                <c:pt idx="34">
                  <c:v>1970</c:v>
                </c:pt>
                <c:pt idx="35">
                  <c:v>1971</c:v>
                </c:pt>
                <c:pt idx="36">
                  <c:v>1972</c:v>
                </c:pt>
                <c:pt idx="37">
                  <c:v>1973</c:v>
                </c:pt>
                <c:pt idx="38">
                  <c:v>1974</c:v>
                </c:pt>
                <c:pt idx="39">
                  <c:v>1975</c:v>
                </c:pt>
                <c:pt idx="40">
                  <c:v>1976</c:v>
                </c:pt>
                <c:pt idx="41">
                  <c:v>1977</c:v>
                </c:pt>
                <c:pt idx="42">
                  <c:v>1978</c:v>
                </c:pt>
                <c:pt idx="43">
                  <c:v>1979</c:v>
                </c:pt>
                <c:pt idx="44">
                  <c:v>1980</c:v>
                </c:pt>
                <c:pt idx="45">
                  <c:v>1981</c:v>
                </c:pt>
                <c:pt idx="46">
                  <c:v>1982</c:v>
                </c:pt>
                <c:pt idx="47">
                  <c:v>1983</c:v>
                </c:pt>
                <c:pt idx="48">
                  <c:v>1984</c:v>
                </c:pt>
                <c:pt idx="49">
                  <c:v>1985</c:v>
                </c:pt>
                <c:pt idx="50">
                  <c:v>1986</c:v>
                </c:pt>
                <c:pt idx="51">
                  <c:v>1987</c:v>
                </c:pt>
                <c:pt idx="52">
                  <c:v>1988</c:v>
                </c:pt>
                <c:pt idx="53">
                  <c:v>1989</c:v>
                </c:pt>
                <c:pt idx="54">
                  <c:v>1990</c:v>
                </c:pt>
                <c:pt idx="55">
                  <c:v>1991</c:v>
                </c:pt>
                <c:pt idx="56">
                  <c:v>1992</c:v>
                </c:pt>
                <c:pt idx="57">
                  <c:v>1993</c:v>
                </c:pt>
                <c:pt idx="58">
                  <c:v>1994</c:v>
                </c:pt>
                <c:pt idx="59">
                  <c:v>1995</c:v>
                </c:pt>
                <c:pt idx="60">
                  <c:v>1996</c:v>
                </c:pt>
                <c:pt idx="61">
                  <c:v>1997</c:v>
                </c:pt>
                <c:pt idx="62">
                  <c:v>1998</c:v>
                </c:pt>
                <c:pt idx="63">
                  <c:v>1999</c:v>
                </c:pt>
                <c:pt idx="64">
                  <c:v>2000</c:v>
                </c:pt>
                <c:pt idx="65">
                  <c:v>2001</c:v>
                </c:pt>
                <c:pt idx="66">
                  <c:v>2002</c:v>
                </c:pt>
                <c:pt idx="67">
                  <c:v>2003</c:v>
                </c:pt>
                <c:pt idx="68">
                  <c:v>2004</c:v>
                </c:pt>
                <c:pt idx="69">
                  <c:v>2005</c:v>
                </c:pt>
                <c:pt idx="70">
                  <c:v>2006</c:v>
                </c:pt>
                <c:pt idx="71">
                  <c:v>2007</c:v>
                </c:pt>
                <c:pt idx="72">
                  <c:v>2008</c:v>
                </c:pt>
                <c:pt idx="73">
                  <c:v>2009</c:v>
                </c:pt>
                <c:pt idx="74">
                  <c:v>2010</c:v>
                </c:pt>
                <c:pt idx="75">
                  <c:v>2011</c:v>
                </c:pt>
                <c:pt idx="76">
                  <c:v>2012</c:v>
                </c:pt>
                <c:pt idx="77">
                  <c:v>2013</c:v>
                </c:pt>
                <c:pt idx="78">
                  <c:v>2014</c:v>
                </c:pt>
                <c:pt idx="79">
                  <c:v>2015</c:v>
                </c:pt>
                <c:pt idx="80">
                  <c:v>2016</c:v>
                </c:pt>
                <c:pt idx="81">
                  <c:v>2017</c:v>
                </c:pt>
                <c:pt idx="82">
                  <c:v>2018</c:v>
                </c:pt>
                <c:pt idx="83">
                  <c:v>2019</c:v>
                </c:pt>
                <c:pt idx="84">
                  <c:v>2020</c:v>
                </c:pt>
                <c:pt idx="85">
                  <c:v>2021</c:v>
                </c:pt>
                <c:pt idx="86">
                  <c:v>2022</c:v>
                </c:pt>
                <c:pt idx="87">
                  <c:v>2023</c:v>
                </c:pt>
                <c:pt idx="88">
                  <c:v>2024</c:v>
                </c:pt>
              </c:numCache>
            </c:numRef>
          </c:cat>
          <c:val>
            <c:numRef>
              <c:f>'Largo Plazo'!$AE$7:$AE$101</c:f>
              <c:numCache>
                <c:formatCode>General</c:formatCode>
                <c:ptCount val="95"/>
                <c:pt idx="0">
                  <c:v>1.30677165982571</c:v>
                </c:pt>
                <c:pt idx="1">
                  <c:v>1.2861725195373379</c:v>
                </c:pt>
                <c:pt idx="2">
                  <c:v>1.2874920417467586</c:v>
                </c:pt>
                <c:pt idx="3">
                  <c:v>1.2456668330342522</c:v>
                </c:pt>
                <c:pt idx="4">
                  <c:v>1.2304825631889695</c:v>
                </c:pt>
                <c:pt idx="5">
                  <c:v>1.203323812817122</c:v>
                </c:pt>
                <c:pt idx="6">
                  <c:v>1.1467989492219217</c:v>
                </c:pt>
                <c:pt idx="7">
                  <c:v>1.0923567202504516</c:v>
                </c:pt>
                <c:pt idx="8">
                  <c:v>1.0705326689765979</c:v>
                </c:pt>
                <c:pt idx="9">
                  <c:v>1.2530426638884322</c:v>
                </c:pt>
                <c:pt idx="10">
                  <c:v>1.3616638578413274</c:v>
                </c:pt>
                <c:pt idx="11">
                  <c:v>1.3517617875511476</c:v>
                </c:pt>
                <c:pt idx="12">
                  <c:v>1.4142288295344858</c:v>
                </c:pt>
                <c:pt idx="13">
                  <c:v>1.8774927893285884</c:v>
                </c:pt>
                <c:pt idx="14">
                  <c:v>1.9999537789911062</c:v>
                </c:pt>
                <c:pt idx="15">
                  <c:v>1.982038865378478</c:v>
                </c:pt>
                <c:pt idx="16">
                  <c:v>2.2015589938115876</c:v>
                </c:pt>
                <c:pt idx="17">
                  <c:v>2.7835262996712693</c:v>
                </c:pt>
                <c:pt idx="18">
                  <c:v>2.8677558821772857</c:v>
                </c:pt>
                <c:pt idx="19">
                  <c:v>2.3424835174856691</c:v>
                </c:pt>
                <c:pt idx="20">
                  <c:v>1.0036809685802959</c:v>
                </c:pt>
                <c:pt idx="21">
                  <c:v>1.2111964583277119</c:v>
                </c:pt>
                <c:pt idx="22">
                  <c:v>1.5501217356710162</c:v>
                </c:pt>
                <c:pt idx="23">
                  <c:v>0.73454180300492533</c:v>
                </c:pt>
                <c:pt idx="24">
                  <c:v>0.89500039938439324</c:v>
                </c:pt>
                <c:pt idx="25">
                  <c:v>1.0044762822805173</c:v>
                </c:pt>
                <c:pt idx="26">
                  <c:v>0.91028041555373418</c:v>
                </c:pt>
                <c:pt idx="27">
                  <c:v>0.92974526116567802</c:v>
                </c:pt>
                <c:pt idx="28">
                  <c:v>1.105311676835891</c:v>
                </c:pt>
                <c:pt idx="29">
                  <c:v>1.1739701241329037</c:v>
                </c:pt>
                <c:pt idx="30">
                  <c:v>1.2217744979197234</c:v>
                </c:pt>
                <c:pt idx="31">
                  <c:v>0.95776861678329173</c:v>
                </c:pt>
                <c:pt idx="32">
                  <c:v>1.0103786636066643</c:v>
                </c:pt>
                <c:pt idx="33">
                  <c:v>0.98884386370583155</c:v>
                </c:pt>
                <c:pt idx="34">
                  <c:v>1.0187641144127864</c:v>
                </c:pt>
                <c:pt idx="35">
                  <c:v>1.0894306290759395</c:v>
                </c:pt>
                <c:pt idx="36">
                  <c:v>0.95971365213772419</c:v>
                </c:pt>
                <c:pt idx="37">
                  <c:v>1.3351011426703998</c:v>
                </c:pt>
                <c:pt idx="38">
                  <c:v>1.493078851001564</c:v>
                </c:pt>
                <c:pt idx="39">
                  <c:v>1.3071583464477134</c:v>
                </c:pt>
                <c:pt idx="40">
                  <c:v>0.94417273283027225</c:v>
                </c:pt>
                <c:pt idx="41">
                  <c:v>1.1061720826002401</c:v>
                </c:pt>
                <c:pt idx="42">
                  <c:v>1.4516987357856912</c:v>
                </c:pt>
                <c:pt idx="43">
                  <c:v>2.0401173175351928</c:v>
                </c:pt>
                <c:pt idx="44">
                  <c:v>2.5840764974828869</c:v>
                </c:pt>
                <c:pt idx="45">
                  <c:v>1.9871927073394395</c:v>
                </c:pt>
                <c:pt idx="46">
                  <c:v>1.0118645470519738</c:v>
                </c:pt>
                <c:pt idx="47">
                  <c:v>0.89247499638204186</c:v>
                </c:pt>
                <c:pt idx="48">
                  <c:v>0.96709794194902832</c:v>
                </c:pt>
                <c:pt idx="49">
                  <c:v>0.81355258827468635</c:v>
                </c:pt>
                <c:pt idx="50">
                  <c:v>0.96713951394631148</c:v>
                </c:pt>
                <c:pt idx="51">
                  <c:v>0.94994798999524921</c:v>
                </c:pt>
                <c:pt idx="52">
                  <c:v>0.99280483137187037</c:v>
                </c:pt>
                <c:pt idx="53">
                  <c:v>0.66601983500568906</c:v>
                </c:pt>
                <c:pt idx="54">
                  <c:v>1.3377522207378627</c:v>
                </c:pt>
                <c:pt idx="55">
                  <c:v>1.6482532910909939</c:v>
                </c:pt>
                <c:pt idx="56">
                  <c:v>1.9179070761787149</c:v>
                </c:pt>
                <c:pt idx="57">
                  <c:v>2.0596925361734888</c:v>
                </c:pt>
                <c:pt idx="58">
                  <c:v>2.0704439753239012</c:v>
                </c:pt>
                <c:pt idx="59">
                  <c:v>2.1025354527057023</c:v>
                </c:pt>
                <c:pt idx="60">
                  <c:v>2.0252410937494476</c:v>
                </c:pt>
                <c:pt idx="61">
                  <c:v>1.9901328974624108</c:v>
                </c:pt>
                <c:pt idx="62">
                  <c:v>1.97826449290108</c:v>
                </c:pt>
                <c:pt idx="63">
                  <c:v>1.9127911168696758</c:v>
                </c:pt>
                <c:pt idx="64">
                  <c:v>1.8328327439835284</c:v>
                </c:pt>
                <c:pt idx="65">
                  <c:v>1.7630164658539509</c:v>
                </c:pt>
                <c:pt idx="66">
                  <c:v>0.6959291937700578</c:v>
                </c:pt>
                <c:pt idx="67">
                  <c:v>0.82745861644340124</c:v>
                </c:pt>
                <c:pt idx="68">
                  <c:v>0.84152319829574385</c:v>
                </c:pt>
                <c:pt idx="69">
                  <c:v>0.89256395803936517</c:v>
                </c:pt>
                <c:pt idx="70">
                  <c:v>0.90710205099579899</c:v>
                </c:pt>
                <c:pt idx="71">
                  <c:v>1.0295221375198433</c:v>
                </c:pt>
                <c:pt idx="72">
                  <c:v>1.2344894093082754</c:v>
                </c:pt>
                <c:pt idx="73">
                  <c:v>1.2049157558852939</c:v>
                </c:pt>
                <c:pt idx="74">
                  <c:v>1.4066399599386814</c:v>
                </c:pt>
                <c:pt idx="75">
                  <c:v>1.593104930907125</c:v>
                </c:pt>
                <c:pt idx="76">
                  <c:v>1.7423516661404792</c:v>
                </c:pt>
                <c:pt idx="77">
                  <c:v>1.7869099323685009</c:v>
                </c:pt>
                <c:pt idx="78">
                  <c:v>1.6467444951774499</c:v>
                </c:pt>
                <c:pt idx="79">
                  <c:v>1.7779465441396178</c:v>
                </c:pt>
                <c:pt idx="80">
                  <c:v>1.5841768183604661</c:v>
                </c:pt>
                <c:pt idx="81">
                  <c:v>1.7521512843313012</c:v>
                </c:pt>
                <c:pt idx="82">
                  <c:v>1.3516059232476827</c:v>
                </c:pt>
                <c:pt idx="83">
                  <c:v>1.1886262947824062</c:v>
                </c:pt>
                <c:pt idx="84">
                  <c:v>1.138758167235763</c:v>
                </c:pt>
                <c:pt idx="85">
                  <c:v>1.1983808433103198</c:v>
                </c:pt>
                <c:pt idx="86">
                  <c:v>1.3899808930972222</c:v>
                </c:pt>
                <c:pt idx="87">
                  <c:v>1.3947776405936207</c:v>
                </c:pt>
                <c:pt idx="88">
                  <c:v>1.3637671587799556</c:v>
                </c:pt>
                <c:pt idx="89">
                  <c:v>1.2505343625849583</c:v>
                </c:pt>
                <c:pt idx="90">
                  <c:v>1.2617091204083746</c:v>
                </c:pt>
                <c:pt idx="91">
                  <c:v>1.2839401488921007</c:v>
                </c:pt>
                <c:pt idx="92">
                  <c:v>1.2739340168236077</c:v>
                </c:pt>
                <c:pt idx="93">
                  <c:v>1.292428508050788</c:v>
                </c:pt>
                <c:pt idx="94">
                  <c:v>1.2743184175814406</c:v>
                </c:pt>
              </c:numCache>
            </c:numRef>
          </c:val>
        </c:ser>
        <c:ser>
          <c:idx val="2"/>
          <c:order val="2"/>
          <c:tx>
            <c:v>IPC ENGE Sin Imp</c:v>
          </c:tx>
          <c:marker>
            <c:symbol val="none"/>
          </c:marker>
          <c:cat>
            <c:numRef>
              <c:f>'Largo Plazo'!$A$7:$A$95</c:f>
              <c:numCache>
                <c:formatCode>General</c:formatCode>
                <c:ptCount val="89"/>
                <c:pt idx="0">
                  <c:v>1936</c:v>
                </c:pt>
                <c:pt idx="1">
                  <c:v>1937</c:v>
                </c:pt>
                <c:pt idx="2">
                  <c:v>1938</c:v>
                </c:pt>
                <c:pt idx="3">
                  <c:v>1939</c:v>
                </c:pt>
                <c:pt idx="4">
                  <c:v>1940</c:v>
                </c:pt>
                <c:pt idx="5">
                  <c:v>1941</c:v>
                </c:pt>
                <c:pt idx="6">
                  <c:v>1942</c:v>
                </c:pt>
                <c:pt idx="7">
                  <c:v>1943</c:v>
                </c:pt>
                <c:pt idx="8">
                  <c:v>1944</c:v>
                </c:pt>
                <c:pt idx="9">
                  <c:v>1945</c:v>
                </c:pt>
                <c:pt idx="10">
                  <c:v>1946</c:v>
                </c:pt>
                <c:pt idx="11">
                  <c:v>1947</c:v>
                </c:pt>
                <c:pt idx="12">
                  <c:v>1948</c:v>
                </c:pt>
                <c:pt idx="13">
                  <c:v>1949</c:v>
                </c:pt>
                <c:pt idx="14">
                  <c:v>1950</c:v>
                </c:pt>
                <c:pt idx="15">
                  <c:v>1951</c:v>
                </c:pt>
                <c:pt idx="16">
                  <c:v>1952</c:v>
                </c:pt>
                <c:pt idx="17">
                  <c:v>1953</c:v>
                </c:pt>
                <c:pt idx="18">
                  <c:v>1954</c:v>
                </c:pt>
                <c:pt idx="19">
                  <c:v>1955</c:v>
                </c:pt>
                <c:pt idx="20">
                  <c:v>1956</c:v>
                </c:pt>
                <c:pt idx="21">
                  <c:v>1957</c:v>
                </c:pt>
                <c:pt idx="22">
                  <c:v>1958</c:v>
                </c:pt>
                <c:pt idx="23">
                  <c:v>1959</c:v>
                </c:pt>
                <c:pt idx="24">
                  <c:v>1960</c:v>
                </c:pt>
                <c:pt idx="25">
                  <c:v>1961</c:v>
                </c:pt>
                <c:pt idx="26">
                  <c:v>1962</c:v>
                </c:pt>
                <c:pt idx="27">
                  <c:v>1963</c:v>
                </c:pt>
                <c:pt idx="28">
                  <c:v>1964</c:v>
                </c:pt>
                <c:pt idx="29">
                  <c:v>1965</c:v>
                </c:pt>
                <c:pt idx="30">
                  <c:v>1966</c:v>
                </c:pt>
                <c:pt idx="31">
                  <c:v>1967</c:v>
                </c:pt>
                <c:pt idx="32">
                  <c:v>1968</c:v>
                </c:pt>
                <c:pt idx="33">
                  <c:v>1969</c:v>
                </c:pt>
                <c:pt idx="34">
                  <c:v>1970</c:v>
                </c:pt>
                <c:pt idx="35">
                  <c:v>1971</c:v>
                </c:pt>
                <c:pt idx="36">
                  <c:v>1972</c:v>
                </c:pt>
                <c:pt idx="37">
                  <c:v>1973</c:v>
                </c:pt>
                <c:pt idx="38">
                  <c:v>1974</c:v>
                </c:pt>
                <c:pt idx="39">
                  <c:v>1975</c:v>
                </c:pt>
                <c:pt idx="40">
                  <c:v>1976</c:v>
                </c:pt>
                <c:pt idx="41">
                  <c:v>1977</c:v>
                </c:pt>
                <c:pt idx="42">
                  <c:v>1978</c:v>
                </c:pt>
                <c:pt idx="43">
                  <c:v>1979</c:v>
                </c:pt>
                <c:pt idx="44">
                  <c:v>1980</c:v>
                </c:pt>
                <c:pt idx="45">
                  <c:v>1981</c:v>
                </c:pt>
                <c:pt idx="46">
                  <c:v>1982</c:v>
                </c:pt>
                <c:pt idx="47">
                  <c:v>1983</c:v>
                </c:pt>
                <c:pt idx="48">
                  <c:v>1984</c:v>
                </c:pt>
                <c:pt idx="49">
                  <c:v>1985</c:v>
                </c:pt>
                <c:pt idx="50">
                  <c:v>1986</c:v>
                </c:pt>
                <c:pt idx="51">
                  <c:v>1987</c:v>
                </c:pt>
                <c:pt idx="52">
                  <c:v>1988</c:v>
                </c:pt>
                <c:pt idx="53">
                  <c:v>1989</c:v>
                </c:pt>
                <c:pt idx="54">
                  <c:v>1990</c:v>
                </c:pt>
                <c:pt idx="55">
                  <c:v>1991</c:v>
                </c:pt>
                <c:pt idx="56">
                  <c:v>1992</c:v>
                </c:pt>
                <c:pt idx="57">
                  <c:v>1993</c:v>
                </c:pt>
                <c:pt idx="58">
                  <c:v>1994</c:v>
                </c:pt>
                <c:pt idx="59">
                  <c:v>1995</c:v>
                </c:pt>
                <c:pt idx="60">
                  <c:v>1996</c:v>
                </c:pt>
                <c:pt idx="61">
                  <c:v>1997</c:v>
                </c:pt>
                <c:pt idx="62">
                  <c:v>1998</c:v>
                </c:pt>
                <c:pt idx="63">
                  <c:v>1999</c:v>
                </c:pt>
                <c:pt idx="64">
                  <c:v>2000</c:v>
                </c:pt>
                <c:pt idx="65">
                  <c:v>2001</c:v>
                </c:pt>
                <c:pt idx="66">
                  <c:v>2002</c:v>
                </c:pt>
                <c:pt idx="67">
                  <c:v>2003</c:v>
                </c:pt>
                <c:pt idx="68">
                  <c:v>2004</c:v>
                </c:pt>
                <c:pt idx="69">
                  <c:v>2005</c:v>
                </c:pt>
                <c:pt idx="70">
                  <c:v>2006</c:v>
                </c:pt>
                <c:pt idx="71">
                  <c:v>2007</c:v>
                </c:pt>
                <c:pt idx="72">
                  <c:v>2008</c:v>
                </c:pt>
                <c:pt idx="73">
                  <c:v>2009</c:v>
                </c:pt>
                <c:pt idx="74">
                  <c:v>2010</c:v>
                </c:pt>
                <c:pt idx="75">
                  <c:v>2011</c:v>
                </c:pt>
                <c:pt idx="76">
                  <c:v>2012</c:v>
                </c:pt>
                <c:pt idx="77">
                  <c:v>2013</c:v>
                </c:pt>
                <c:pt idx="78">
                  <c:v>2014</c:v>
                </c:pt>
                <c:pt idx="79">
                  <c:v>2015</c:v>
                </c:pt>
                <c:pt idx="80">
                  <c:v>2016</c:v>
                </c:pt>
                <c:pt idx="81">
                  <c:v>2017</c:v>
                </c:pt>
                <c:pt idx="82">
                  <c:v>2018</c:v>
                </c:pt>
                <c:pt idx="83">
                  <c:v>2019</c:v>
                </c:pt>
                <c:pt idx="84">
                  <c:v>2020</c:v>
                </c:pt>
                <c:pt idx="85">
                  <c:v>2021</c:v>
                </c:pt>
                <c:pt idx="86">
                  <c:v>2022</c:v>
                </c:pt>
                <c:pt idx="87">
                  <c:v>2023</c:v>
                </c:pt>
                <c:pt idx="88">
                  <c:v>2024</c:v>
                </c:pt>
              </c:numCache>
            </c:numRef>
          </c:cat>
          <c:val>
            <c:numRef>
              <c:f>'Largo Plazo'!$W$7:$W$101</c:f>
              <c:numCache>
                <c:formatCode>General</c:formatCode>
                <c:ptCount val="95"/>
                <c:pt idx="0">
                  <c:v>0.96825573348315996</c:v>
                </c:pt>
                <c:pt idx="1">
                  <c:v>0.93944362858161734</c:v>
                </c:pt>
                <c:pt idx="2">
                  <c:v>0.85269809932006857</c:v>
                </c:pt>
                <c:pt idx="3">
                  <c:v>0.8764533025515836</c:v>
                </c:pt>
                <c:pt idx="4">
                  <c:v>0.97881653682670333</c:v>
                </c:pt>
                <c:pt idx="5">
                  <c:v>1.0585899023706884</c:v>
                </c:pt>
                <c:pt idx="6">
                  <c:v>1.0499409471166801</c:v>
                </c:pt>
                <c:pt idx="7">
                  <c:v>1.1463410527250122</c:v>
                </c:pt>
                <c:pt idx="8">
                  <c:v>1.2089887664631991</c:v>
                </c:pt>
                <c:pt idx="9">
                  <c:v>1.4116303050722701</c:v>
                </c:pt>
                <c:pt idx="10">
                  <c:v>1.2868393882784246</c:v>
                </c:pt>
                <c:pt idx="11">
                  <c:v>1.2359788764194624</c:v>
                </c:pt>
                <c:pt idx="12">
                  <c:v>1.3482511359452547</c:v>
                </c:pt>
                <c:pt idx="13">
                  <c:v>1.9109192578831935</c:v>
                </c:pt>
                <c:pt idx="14">
                  <c:v>2.0072745347016054</c:v>
                </c:pt>
                <c:pt idx="15">
                  <c:v>1.9517601943294458</c:v>
                </c:pt>
                <c:pt idx="16">
                  <c:v>2.3871614693868914</c:v>
                </c:pt>
                <c:pt idx="17">
                  <c:v>2.9835350057285406</c:v>
                </c:pt>
                <c:pt idx="18">
                  <c:v>2.9369253821127224</c:v>
                </c:pt>
                <c:pt idx="19">
                  <c:v>2.4176855864279325</c:v>
                </c:pt>
                <c:pt idx="20">
                  <c:v>1.0365038980759487</c:v>
                </c:pt>
                <c:pt idx="21">
                  <c:v>1.2309003794092925</c:v>
                </c:pt>
                <c:pt idx="22">
                  <c:v>1.5283111736373851</c:v>
                </c:pt>
                <c:pt idx="23">
                  <c:v>0.82653480726779582</c:v>
                </c:pt>
                <c:pt idx="24">
                  <c:v>0.92311530273962339</c:v>
                </c:pt>
                <c:pt idx="25">
                  <c:v>0.95457784738086149</c:v>
                </c:pt>
                <c:pt idx="26">
                  <c:v>0.95051162986616256</c:v>
                </c:pt>
                <c:pt idx="27">
                  <c:v>0.98487870700727809</c:v>
                </c:pt>
                <c:pt idx="28">
                  <c:v>1.1319988075954939</c:v>
                </c:pt>
                <c:pt idx="29">
                  <c:v>1.150883769135008</c:v>
                </c:pt>
                <c:pt idx="30">
                  <c:v>1.2034714110556886</c:v>
                </c:pt>
                <c:pt idx="31">
                  <c:v>0.99135769816950736</c:v>
                </c:pt>
                <c:pt idx="32">
                  <c:v>1.007881519023667</c:v>
                </c:pt>
                <c:pt idx="33">
                  <c:v>0.95594480794569814</c:v>
                </c:pt>
                <c:pt idx="34">
                  <c:v>0.94689262817646713</c:v>
                </c:pt>
                <c:pt idx="35">
                  <c:v>1.0396573649342895</c:v>
                </c:pt>
                <c:pt idx="36">
                  <c:v>0.93229369970245868</c:v>
                </c:pt>
                <c:pt idx="37">
                  <c:v>1.3105796631085231</c:v>
                </c:pt>
                <c:pt idx="38">
                  <c:v>1.4570951148989368</c:v>
                </c:pt>
                <c:pt idx="39">
                  <c:v>1.4552622466500817</c:v>
                </c:pt>
                <c:pt idx="40">
                  <c:v>1.0938368099101534</c:v>
                </c:pt>
                <c:pt idx="41">
                  <c:v>1.1895404578103688</c:v>
                </c:pt>
                <c:pt idx="42">
                  <c:v>1.5978013153790254</c:v>
                </c:pt>
                <c:pt idx="43">
                  <c:v>1.879848833238521</c:v>
                </c:pt>
                <c:pt idx="44">
                  <c:v>2.2743389001105063</c:v>
                </c:pt>
                <c:pt idx="45">
                  <c:v>1.8571524621711082</c:v>
                </c:pt>
                <c:pt idx="46">
                  <c:v>0.9568253598068075</c:v>
                </c:pt>
                <c:pt idx="47">
                  <c:v>0.84817252300866264</c:v>
                </c:pt>
                <c:pt idx="48">
                  <c:v>0.96329911273386093</c:v>
                </c:pt>
                <c:pt idx="49">
                  <c:v>0.89498401698996122</c:v>
                </c:pt>
                <c:pt idx="50">
                  <c:v>0.95067048422419631</c:v>
                </c:pt>
                <c:pt idx="51">
                  <c:v>0.93968905056232632</c:v>
                </c:pt>
                <c:pt idx="52">
                  <c:v>1.1016956814007328</c:v>
                </c:pt>
                <c:pt idx="53">
                  <c:v>0.74740848593183362</c:v>
                </c:pt>
                <c:pt idx="54">
                  <c:v>1.6178223034457417</c:v>
                </c:pt>
                <c:pt idx="55">
                  <c:v>1.7615747200291216</c:v>
                </c:pt>
                <c:pt idx="56">
                  <c:v>1.8944735476630403</c:v>
                </c:pt>
                <c:pt idx="57">
                  <c:v>1.9724883552373176</c:v>
                </c:pt>
                <c:pt idx="58">
                  <c:v>1.7557582326328067</c:v>
                </c:pt>
                <c:pt idx="59">
                  <c:v>1.9470537705495934</c:v>
                </c:pt>
                <c:pt idx="60">
                  <c:v>1.8867407599643902</c:v>
                </c:pt>
                <c:pt idx="61">
                  <c:v>1.9595376162896299</c:v>
                </c:pt>
                <c:pt idx="62">
                  <c:v>1.9639643063049625</c:v>
                </c:pt>
                <c:pt idx="63">
                  <c:v>2.2120557276098505</c:v>
                </c:pt>
                <c:pt idx="64">
                  <c:v>2.048097079425875</c:v>
                </c:pt>
                <c:pt idx="65">
                  <c:v>2.0253373463803221</c:v>
                </c:pt>
                <c:pt idx="66">
                  <c:v>0.69846415793426742</c:v>
                </c:pt>
                <c:pt idx="67">
                  <c:v>0.91090735925660637</c:v>
                </c:pt>
                <c:pt idx="68">
                  <c:v>0.85052176856694772</c:v>
                </c:pt>
                <c:pt idx="69">
                  <c:v>0.97135210341938116</c:v>
                </c:pt>
                <c:pt idx="70">
                  <c:v>0.99234416045100349</c:v>
                </c:pt>
                <c:pt idx="71">
                  <c:v>1.1009258914322708</c:v>
                </c:pt>
                <c:pt idx="72">
                  <c:v>1.2996956315724144</c:v>
                </c:pt>
                <c:pt idx="73">
                  <c:v>1.4424600433410093</c:v>
                </c:pt>
                <c:pt idx="74">
                  <c:v>1.7337871725988574</c:v>
                </c:pt>
                <c:pt idx="75">
                  <c:v>1.9300756383886573</c:v>
                </c:pt>
                <c:pt idx="76">
                  <c:v>2.3170159626073299</c:v>
                </c:pt>
                <c:pt idx="77">
                  <c:v>2.3980710215284331</c:v>
                </c:pt>
                <c:pt idx="78">
                  <c:v>2.2485728563087868</c:v>
                </c:pt>
                <c:pt idx="79">
                  <c:v>2.2196497565914788</c:v>
                </c:pt>
                <c:pt idx="80">
                  <c:v>2.079084610809677</c:v>
                </c:pt>
                <c:pt idx="81">
                  <c:v>2.1708876007426636</c:v>
                </c:pt>
                <c:pt idx="82">
                  <c:v>1.3970694928477176</c:v>
                </c:pt>
                <c:pt idx="83">
                  <c:v>1.2530148675627888</c:v>
                </c:pt>
                <c:pt idx="84">
                  <c:v>1.4451654876068178</c:v>
                </c:pt>
                <c:pt idx="85">
                  <c:v>1.7482217911614502</c:v>
                </c:pt>
                <c:pt idx="86">
                  <c:v>1.8824921095564413</c:v>
                </c:pt>
                <c:pt idx="87">
                  <c:v>2.100451828329116</c:v>
                </c:pt>
                <c:pt idx="88">
                  <c:v>2.0662166209113741</c:v>
                </c:pt>
                <c:pt idx="89">
                  <c:v>1.8946598533032724</c:v>
                </c:pt>
                <c:pt idx="90">
                  <c:v>1.9115905076314341</c:v>
                </c:pt>
                <c:pt idx="91">
                  <c:v>1.9452722987328728</c:v>
                </c:pt>
                <c:pt idx="92">
                  <c:v>1.9301122061482627</c:v>
                </c:pt>
                <c:pt idx="93">
                  <c:v>1.9581328436323666</c:v>
                </c:pt>
                <c:pt idx="94">
                  <c:v>1.9306946041256676</c:v>
                </c:pt>
              </c:numCache>
            </c:numRef>
          </c:val>
        </c:ser>
        <c:ser>
          <c:idx val="3"/>
          <c:order val="3"/>
          <c:tx>
            <c:v>IPC ENGE Con Imp</c:v>
          </c:tx>
          <c:marker>
            <c:symbol val="none"/>
          </c:marker>
          <c:cat>
            <c:numRef>
              <c:f>'Largo Plazo'!$A$7:$A$95</c:f>
              <c:numCache>
                <c:formatCode>General</c:formatCode>
                <c:ptCount val="89"/>
                <c:pt idx="0">
                  <c:v>1936</c:v>
                </c:pt>
                <c:pt idx="1">
                  <c:v>1937</c:v>
                </c:pt>
                <c:pt idx="2">
                  <c:v>1938</c:v>
                </c:pt>
                <c:pt idx="3">
                  <c:v>1939</c:v>
                </c:pt>
                <c:pt idx="4">
                  <c:v>1940</c:v>
                </c:pt>
                <c:pt idx="5">
                  <c:v>1941</c:v>
                </c:pt>
                <c:pt idx="6">
                  <c:v>1942</c:v>
                </c:pt>
                <c:pt idx="7">
                  <c:v>1943</c:v>
                </c:pt>
                <c:pt idx="8">
                  <c:v>1944</c:v>
                </c:pt>
                <c:pt idx="9">
                  <c:v>1945</c:v>
                </c:pt>
                <c:pt idx="10">
                  <c:v>1946</c:v>
                </c:pt>
                <c:pt idx="11">
                  <c:v>1947</c:v>
                </c:pt>
                <c:pt idx="12">
                  <c:v>1948</c:v>
                </c:pt>
                <c:pt idx="13">
                  <c:v>1949</c:v>
                </c:pt>
                <c:pt idx="14">
                  <c:v>1950</c:v>
                </c:pt>
                <c:pt idx="15">
                  <c:v>1951</c:v>
                </c:pt>
                <c:pt idx="16">
                  <c:v>1952</c:v>
                </c:pt>
                <c:pt idx="17">
                  <c:v>1953</c:v>
                </c:pt>
                <c:pt idx="18">
                  <c:v>1954</c:v>
                </c:pt>
                <c:pt idx="19">
                  <c:v>1955</c:v>
                </c:pt>
                <c:pt idx="20">
                  <c:v>1956</c:v>
                </c:pt>
                <c:pt idx="21">
                  <c:v>1957</c:v>
                </c:pt>
                <c:pt idx="22">
                  <c:v>1958</c:v>
                </c:pt>
                <c:pt idx="23">
                  <c:v>1959</c:v>
                </c:pt>
                <c:pt idx="24">
                  <c:v>1960</c:v>
                </c:pt>
                <c:pt idx="25">
                  <c:v>1961</c:v>
                </c:pt>
                <c:pt idx="26">
                  <c:v>1962</c:v>
                </c:pt>
                <c:pt idx="27">
                  <c:v>1963</c:v>
                </c:pt>
                <c:pt idx="28">
                  <c:v>1964</c:v>
                </c:pt>
                <c:pt idx="29">
                  <c:v>1965</c:v>
                </c:pt>
                <c:pt idx="30">
                  <c:v>1966</c:v>
                </c:pt>
                <c:pt idx="31">
                  <c:v>1967</c:v>
                </c:pt>
                <c:pt idx="32">
                  <c:v>1968</c:v>
                </c:pt>
                <c:pt idx="33">
                  <c:v>1969</c:v>
                </c:pt>
                <c:pt idx="34">
                  <c:v>1970</c:v>
                </c:pt>
                <c:pt idx="35">
                  <c:v>1971</c:v>
                </c:pt>
                <c:pt idx="36">
                  <c:v>1972</c:v>
                </c:pt>
                <c:pt idx="37">
                  <c:v>1973</c:v>
                </c:pt>
                <c:pt idx="38">
                  <c:v>1974</c:v>
                </c:pt>
                <c:pt idx="39">
                  <c:v>1975</c:v>
                </c:pt>
                <c:pt idx="40">
                  <c:v>1976</c:v>
                </c:pt>
                <c:pt idx="41">
                  <c:v>1977</c:v>
                </c:pt>
                <c:pt idx="42">
                  <c:v>1978</c:v>
                </c:pt>
                <c:pt idx="43">
                  <c:v>1979</c:v>
                </c:pt>
                <c:pt idx="44">
                  <c:v>1980</c:v>
                </c:pt>
                <c:pt idx="45">
                  <c:v>1981</c:v>
                </c:pt>
                <c:pt idx="46">
                  <c:v>1982</c:v>
                </c:pt>
                <c:pt idx="47">
                  <c:v>1983</c:v>
                </c:pt>
                <c:pt idx="48">
                  <c:v>1984</c:v>
                </c:pt>
                <c:pt idx="49">
                  <c:v>1985</c:v>
                </c:pt>
                <c:pt idx="50">
                  <c:v>1986</c:v>
                </c:pt>
                <c:pt idx="51">
                  <c:v>1987</c:v>
                </c:pt>
                <c:pt idx="52">
                  <c:v>1988</c:v>
                </c:pt>
                <c:pt idx="53">
                  <c:v>1989</c:v>
                </c:pt>
                <c:pt idx="54">
                  <c:v>1990</c:v>
                </c:pt>
                <c:pt idx="55">
                  <c:v>1991</c:v>
                </c:pt>
                <c:pt idx="56">
                  <c:v>1992</c:v>
                </c:pt>
                <c:pt idx="57">
                  <c:v>1993</c:v>
                </c:pt>
                <c:pt idx="58">
                  <c:v>1994</c:v>
                </c:pt>
                <c:pt idx="59">
                  <c:v>1995</c:v>
                </c:pt>
                <c:pt idx="60">
                  <c:v>1996</c:v>
                </c:pt>
                <c:pt idx="61">
                  <c:v>1997</c:v>
                </c:pt>
                <c:pt idx="62">
                  <c:v>1998</c:v>
                </c:pt>
                <c:pt idx="63">
                  <c:v>1999</c:v>
                </c:pt>
                <c:pt idx="64">
                  <c:v>2000</c:v>
                </c:pt>
                <c:pt idx="65">
                  <c:v>2001</c:v>
                </c:pt>
                <c:pt idx="66">
                  <c:v>2002</c:v>
                </c:pt>
                <c:pt idx="67">
                  <c:v>2003</c:v>
                </c:pt>
                <c:pt idx="68">
                  <c:v>2004</c:v>
                </c:pt>
                <c:pt idx="69">
                  <c:v>2005</c:v>
                </c:pt>
                <c:pt idx="70">
                  <c:v>2006</c:v>
                </c:pt>
                <c:pt idx="71">
                  <c:v>2007</c:v>
                </c:pt>
                <c:pt idx="72">
                  <c:v>2008</c:v>
                </c:pt>
                <c:pt idx="73">
                  <c:v>2009</c:v>
                </c:pt>
                <c:pt idx="74">
                  <c:v>2010</c:v>
                </c:pt>
                <c:pt idx="75">
                  <c:v>2011</c:v>
                </c:pt>
                <c:pt idx="76">
                  <c:v>2012</c:v>
                </c:pt>
                <c:pt idx="77">
                  <c:v>2013</c:v>
                </c:pt>
                <c:pt idx="78">
                  <c:v>2014</c:v>
                </c:pt>
                <c:pt idx="79">
                  <c:v>2015</c:v>
                </c:pt>
                <c:pt idx="80">
                  <c:v>2016</c:v>
                </c:pt>
                <c:pt idx="81">
                  <c:v>2017</c:v>
                </c:pt>
                <c:pt idx="82">
                  <c:v>2018</c:v>
                </c:pt>
                <c:pt idx="83">
                  <c:v>2019</c:v>
                </c:pt>
                <c:pt idx="84">
                  <c:v>2020</c:v>
                </c:pt>
                <c:pt idx="85">
                  <c:v>2021</c:v>
                </c:pt>
                <c:pt idx="86">
                  <c:v>2022</c:v>
                </c:pt>
                <c:pt idx="87">
                  <c:v>2023</c:v>
                </c:pt>
                <c:pt idx="88">
                  <c:v>2024</c:v>
                </c:pt>
              </c:numCache>
            </c:numRef>
          </c:cat>
          <c:val>
            <c:numRef>
              <c:f>'Largo Plazo'!$AA$7:$AA$101</c:f>
              <c:numCache>
                <c:formatCode>General</c:formatCode>
                <c:ptCount val="95"/>
                <c:pt idx="0">
                  <c:v>0.96825573348316052</c:v>
                </c:pt>
                <c:pt idx="1">
                  <c:v>0.9394436285816179</c:v>
                </c:pt>
                <c:pt idx="2">
                  <c:v>0.85269809932006913</c:v>
                </c:pt>
                <c:pt idx="3">
                  <c:v>0.87645330255158382</c:v>
                </c:pt>
                <c:pt idx="4">
                  <c:v>0.97881653682670344</c:v>
                </c:pt>
                <c:pt idx="5">
                  <c:v>1.0585899023706884</c:v>
                </c:pt>
                <c:pt idx="6">
                  <c:v>1.0499409471166801</c:v>
                </c:pt>
                <c:pt idx="7">
                  <c:v>1.1463410527250126</c:v>
                </c:pt>
                <c:pt idx="8">
                  <c:v>1.2089887664631991</c:v>
                </c:pt>
                <c:pt idx="9">
                  <c:v>1.4116303050722698</c:v>
                </c:pt>
                <c:pt idx="10">
                  <c:v>1.2868393882784248</c:v>
                </c:pt>
                <c:pt idx="11">
                  <c:v>1.2359788764194628</c:v>
                </c:pt>
                <c:pt idx="12">
                  <c:v>1.3482511359452551</c:v>
                </c:pt>
                <c:pt idx="13">
                  <c:v>1.9109192578831942</c:v>
                </c:pt>
                <c:pt idx="14">
                  <c:v>2.007274534701605</c:v>
                </c:pt>
                <c:pt idx="15">
                  <c:v>1.9517601943294458</c:v>
                </c:pt>
                <c:pt idx="16">
                  <c:v>2.3871614693868914</c:v>
                </c:pt>
                <c:pt idx="17">
                  <c:v>2.9835350057285401</c:v>
                </c:pt>
                <c:pt idx="18">
                  <c:v>2.9369253821127219</c:v>
                </c:pt>
                <c:pt idx="19">
                  <c:v>2.4176855864279339</c:v>
                </c:pt>
                <c:pt idx="20">
                  <c:v>1.0365038980759489</c:v>
                </c:pt>
                <c:pt idx="21">
                  <c:v>1.230900379409293</c:v>
                </c:pt>
                <c:pt idx="22">
                  <c:v>1.5283111736373853</c:v>
                </c:pt>
                <c:pt idx="23">
                  <c:v>0.82653480726779605</c:v>
                </c:pt>
                <c:pt idx="24">
                  <c:v>0.9231153027396235</c:v>
                </c:pt>
                <c:pt idx="25">
                  <c:v>0.9545778473808616</c:v>
                </c:pt>
                <c:pt idx="26">
                  <c:v>0.95051162986616244</c:v>
                </c:pt>
                <c:pt idx="27">
                  <c:v>0.98487870700727809</c:v>
                </c:pt>
                <c:pt idx="28">
                  <c:v>1.1319988075954941</c:v>
                </c:pt>
                <c:pt idx="29">
                  <c:v>1.1508837691350082</c:v>
                </c:pt>
                <c:pt idx="30">
                  <c:v>1.2034714110556888</c:v>
                </c:pt>
                <c:pt idx="31">
                  <c:v>0.99135769816950736</c:v>
                </c:pt>
                <c:pt idx="32">
                  <c:v>1.007881519023667</c:v>
                </c:pt>
                <c:pt idx="33">
                  <c:v>0.95594480794569803</c:v>
                </c:pt>
                <c:pt idx="34">
                  <c:v>0.94689262817646691</c:v>
                </c:pt>
                <c:pt idx="35">
                  <c:v>1.0396573649342893</c:v>
                </c:pt>
                <c:pt idx="36">
                  <c:v>0.93229369970245857</c:v>
                </c:pt>
                <c:pt idx="37">
                  <c:v>1.3105796631085225</c:v>
                </c:pt>
                <c:pt idx="38">
                  <c:v>1.4570951148989362</c:v>
                </c:pt>
                <c:pt idx="39">
                  <c:v>1.4552622466500809</c:v>
                </c:pt>
                <c:pt idx="40">
                  <c:v>1.0938368099101528</c:v>
                </c:pt>
                <c:pt idx="41">
                  <c:v>1.1895404578103677</c:v>
                </c:pt>
                <c:pt idx="42">
                  <c:v>1.5978013153790238</c:v>
                </c:pt>
                <c:pt idx="43">
                  <c:v>1.8798488332385188</c:v>
                </c:pt>
                <c:pt idx="44">
                  <c:v>2.2743389001105041</c:v>
                </c:pt>
                <c:pt idx="45">
                  <c:v>1.8571524621711064</c:v>
                </c:pt>
                <c:pt idx="46">
                  <c:v>0.95682535980680683</c:v>
                </c:pt>
                <c:pt idx="47">
                  <c:v>0.84817252300866186</c:v>
                </c:pt>
                <c:pt idx="48">
                  <c:v>0.96329911273385993</c:v>
                </c:pt>
                <c:pt idx="49">
                  <c:v>0.89498401698996055</c:v>
                </c:pt>
                <c:pt idx="50">
                  <c:v>0.95067048422419553</c:v>
                </c:pt>
                <c:pt idx="51">
                  <c:v>0.93968905056232566</c:v>
                </c:pt>
                <c:pt idx="52">
                  <c:v>1.1016956814007322</c:v>
                </c:pt>
                <c:pt idx="53">
                  <c:v>0.74740848593183307</c:v>
                </c:pt>
                <c:pt idx="54">
                  <c:v>1.6178223034457409</c:v>
                </c:pt>
                <c:pt idx="55">
                  <c:v>1.7615747200291205</c:v>
                </c:pt>
                <c:pt idx="56">
                  <c:v>1.8944735476630388</c:v>
                </c:pt>
                <c:pt idx="57">
                  <c:v>1.9724883552373158</c:v>
                </c:pt>
                <c:pt idx="58">
                  <c:v>1.7933145584645231</c:v>
                </c:pt>
                <c:pt idx="59">
                  <c:v>2.0095260840431628</c:v>
                </c:pt>
                <c:pt idx="60">
                  <c:v>1.889263140659529</c:v>
                </c:pt>
                <c:pt idx="61">
                  <c:v>1.85212980577108</c:v>
                </c:pt>
                <c:pt idx="62">
                  <c:v>1.8746932014729174</c:v>
                </c:pt>
                <c:pt idx="63">
                  <c:v>2.0050451648656118</c:v>
                </c:pt>
                <c:pt idx="64">
                  <c:v>1.8564302404421689</c:v>
                </c:pt>
                <c:pt idx="65">
                  <c:v>1.8493387801841703</c:v>
                </c:pt>
                <c:pt idx="66">
                  <c:v>0.64896669896429238</c:v>
                </c:pt>
                <c:pt idx="67">
                  <c:v>0.78911899543257946</c:v>
                </c:pt>
                <c:pt idx="68">
                  <c:v>0.76490598982076641</c:v>
                </c:pt>
                <c:pt idx="69">
                  <c:v>0.84409560904100245</c:v>
                </c:pt>
                <c:pt idx="70">
                  <c:v>0.86233389829363194</c:v>
                </c:pt>
                <c:pt idx="71">
                  <c:v>0.95668861270567207</c:v>
                </c:pt>
                <c:pt idx="72">
                  <c:v>1.1294175940330737</c:v>
                </c:pt>
                <c:pt idx="73">
                  <c:v>1.208274369518866</c:v>
                </c:pt>
                <c:pt idx="74">
                  <c:v>1.4789317908647712</c:v>
                </c:pt>
                <c:pt idx="75">
                  <c:v>1.6654784513576941</c:v>
                </c:pt>
                <c:pt idx="76">
                  <c:v>1.8585689539630974</c:v>
                </c:pt>
                <c:pt idx="77">
                  <c:v>1.946028222015719</c:v>
                </c:pt>
                <c:pt idx="78">
                  <c:v>1.8126864068906388</c:v>
                </c:pt>
                <c:pt idx="79">
                  <c:v>1.8961981209384409</c:v>
                </c:pt>
                <c:pt idx="80">
                  <c:v>1.7788962636605776</c:v>
                </c:pt>
                <c:pt idx="81">
                  <c:v>1.9096845471773687</c:v>
                </c:pt>
                <c:pt idx="82">
                  <c:v>1.3765243532470146</c:v>
                </c:pt>
                <c:pt idx="83">
                  <c:v>1.1608814214184653</c:v>
                </c:pt>
                <c:pt idx="84">
                  <c:v>1.3002625309617486</c:v>
                </c:pt>
                <c:pt idx="85">
                  <c:v>1.41400291932176</c:v>
                </c:pt>
                <c:pt idx="86">
                  <c:v>1.6745078518503607</c:v>
                </c:pt>
                <c:pt idx="87">
                  <c:v>1.9960716518226991</c:v>
                </c:pt>
                <c:pt idx="88">
                  <c:v>1.9635377340726379</c:v>
                </c:pt>
                <c:pt idx="89">
                  <c:v>1.800506334883982</c:v>
                </c:pt>
                <c:pt idx="90">
                  <c:v>1.8165956346696075</c:v>
                </c:pt>
                <c:pt idx="91">
                  <c:v>1.8486036376589825</c:v>
                </c:pt>
                <c:pt idx="92">
                  <c:v>1.8341969130490592</c:v>
                </c:pt>
                <c:pt idx="93">
                  <c:v>1.8608250886604527</c:v>
                </c:pt>
                <c:pt idx="94">
                  <c:v>1.8347503692517189</c:v>
                </c:pt>
              </c:numCache>
            </c:numRef>
          </c:val>
        </c:ser>
        <c:marker val="1"/>
        <c:axId val="87739392"/>
        <c:axId val="87757568"/>
      </c:lineChart>
      <c:catAx>
        <c:axId val="87739392"/>
        <c:scaling>
          <c:orientation val="minMax"/>
        </c:scaling>
        <c:axPos val="b"/>
        <c:numFmt formatCode="General" sourceLinked="1"/>
        <c:majorTickMark val="none"/>
        <c:tickLblPos val="nextTo"/>
        <c:crossAx val="87757568"/>
        <c:crosses val="autoZero"/>
        <c:auto val="1"/>
        <c:lblAlgn val="ctr"/>
        <c:lblOffset val="100"/>
      </c:catAx>
      <c:valAx>
        <c:axId val="87757568"/>
        <c:scaling>
          <c:orientation val="minMax"/>
          <c:max val="3"/>
          <c:min val="0.5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87739392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AR"/>
  <c:chart>
    <c:title>
      <c:tx>
        <c:rich>
          <a:bodyPr/>
          <a:lstStyle/>
          <a:p>
            <a:pPr>
              <a:defRPr sz="1200"/>
            </a:pPr>
            <a:r>
              <a:rPr lang="es-AR" sz="1200"/>
              <a:t>Nivel de sobrevaluación</a:t>
            </a:r>
            <a:r>
              <a:rPr lang="es-AR" sz="1200" baseline="0"/>
              <a:t> </a:t>
            </a:r>
            <a:endParaRPr lang="es-AR" sz="1200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IPC + IPT Total</c:v>
          </c:tx>
          <c:marker>
            <c:symbol val="none"/>
          </c:marker>
          <c:cat>
            <c:numRef>
              <c:f>'Largo Plazo'!$A$7:$A$95</c:f>
              <c:numCache>
                <c:formatCode>General</c:formatCode>
                <c:ptCount val="89"/>
                <c:pt idx="0">
                  <c:v>1936</c:v>
                </c:pt>
                <c:pt idx="1">
                  <c:v>1937</c:v>
                </c:pt>
                <c:pt idx="2">
                  <c:v>1938</c:v>
                </c:pt>
                <c:pt idx="3">
                  <c:v>1939</c:v>
                </c:pt>
                <c:pt idx="4">
                  <c:v>1940</c:v>
                </c:pt>
                <c:pt idx="5">
                  <c:v>1941</c:v>
                </c:pt>
                <c:pt idx="6">
                  <c:v>1942</c:v>
                </c:pt>
                <c:pt idx="7">
                  <c:v>1943</c:v>
                </c:pt>
                <c:pt idx="8">
                  <c:v>1944</c:v>
                </c:pt>
                <c:pt idx="9">
                  <c:v>1945</c:v>
                </c:pt>
                <c:pt idx="10">
                  <c:v>1946</c:v>
                </c:pt>
                <c:pt idx="11">
                  <c:v>1947</c:v>
                </c:pt>
                <c:pt idx="12">
                  <c:v>1948</c:v>
                </c:pt>
                <c:pt idx="13">
                  <c:v>1949</c:v>
                </c:pt>
                <c:pt idx="14">
                  <c:v>1950</c:v>
                </c:pt>
                <c:pt idx="15">
                  <c:v>1951</c:v>
                </c:pt>
                <c:pt idx="16">
                  <c:v>1952</c:v>
                </c:pt>
                <c:pt idx="17">
                  <c:v>1953</c:v>
                </c:pt>
                <c:pt idx="18">
                  <c:v>1954</c:v>
                </c:pt>
                <c:pt idx="19">
                  <c:v>1955</c:v>
                </c:pt>
                <c:pt idx="20">
                  <c:v>1956</c:v>
                </c:pt>
                <c:pt idx="21">
                  <c:v>1957</c:v>
                </c:pt>
                <c:pt idx="22">
                  <c:v>1958</c:v>
                </c:pt>
                <c:pt idx="23">
                  <c:v>1959</c:v>
                </c:pt>
                <c:pt idx="24">
                  <c:v>1960</c:v>
                </c:pt>
                <c:pt idx="25">
                  <c:v>1961</c:v>
                </c:pt>
                <c:pt idx="26">
                  <c:v>1962</c:v>
                </c:pt>
                <c:pt idx="27">
                  <c:v>1963</c:v>
                </c:pt>
                <c:pt idx="28">
                  <c:v>1964</c:v>
                </c:pt>
                <c:pt idx="29">
                  <c:v>1965</c:v>
                </c:pt>
                <c:pt idx="30">
                  <c:v>1966</c:v>
                </c:pt>
                <c:pt idx="31">
                  <c:v>1967</c:v>
                </c:pt>
                <c:pt idx="32">
                  <c:v>1968</c:v>
                </c:pt>
                <c:pt idx="33">
                  <c:v>1969</c:v>
                </c:pt>
                <c:pt idx="34">
                  <c:v>1970</c:v>
                </c:pt>
                <c:pt idx="35">
                  <c:v>1971</c:v>
                </c:pt>
                <c:pt idx="36">
                  <c:v>1972</c:v>
                </c:pt>
                <c:pt idx="37">
                  <c:v>1973</c:v>
                </c:pt>
                <c:pt idx="38">
                  <c:v>1974</c:v>
                </c:pt>
                <c:pt idx="39">
                  <c:v>1975</c:v>
                </c:pt>
                <c:pt idx="40">
                  <c:v>1976</c:v>
                </c:pt>
                <c:pt idx="41">
                  <c:v>1977</c:v>
                </c:pt>
                <c:pt idx="42">
                  <c:v>1978</c:v>
                </c:pt>
                <c:pt idx="43">
                  <c:v>1979</c:v>
                </c:pt>
                <c:pt idx="44">
                  <c:v>1980</c:v>
                </c:pt>
                <c:pt idx="45">
                  <c:v>1981</c:v>
                </c:pt>
                <c:pt idx="46">
                  <c:v>1982</c:v>
                </c:pt>
                <c:pt idx="47">
                  <c:v>1983</c:v>
                </c:pt>
                <c:pt idx="48">
                  <c:v>1984</c:v>
                </c:pt>
                <c:pt idx="49">
                  <c:v>1985</c:v>
                </c:pt>
                <c:pt idx="50">
                  <c:v>1986</c:v>
                </c:pt>
                <c:pt idx="51">
                  <c:v>1987</c:v>
                </c:pt>
                <c:pt idx="52">
                  <c:v>1988</c:v>
                </c:pt>
                <c:pt idx="53">
                  <c:v>1989</c:v>
                </c:pt>
                <c:pt idx="54">
                  <c:v>1990</c:v>
                </c:pt>
                <c:pt idx="55">
                  <c:v>1991</c:v>
                </c:pt>
                <c:pt idx="56">
                  <c:v>1992</c:v>
                </c:pt>
                <c:pt idx="57">
                  <c:v>1993</c:v>
                </c:pt>
                <c:pt idx="58">
                  <c:v>1994</c:v>
                </c:pt>
                <c:pt idx="59">
                  <c:v>1995</c:v>
                </c:pt>
                <c:pt idx="60">
                  <c:v>1996</c:v>
                </c:pt>
                <c:pt idx="61">
                  <c:v>1997</c:v>
                </c:pt>
                <c:pt idx="62">
                  <c:v>1998</c:v>
                </c:pt>
                <c:pt idx="63">
                  <c:v>1999</c:v>
                </c:pt>
                <c:pt idx="64">
                  <c:v>2000</c:v>
                </c:pt>
                <c:pt idx="65">
                  <c:v>2001</c:v>
                </c:pt>
                <c:pt idx="66">
                  <c:v>2002</c:v>
                </c:pt>
                <c:pt idx="67">
                  <c:v>2003</c:v>
                </c:pt>
                <c:pt idx="68">
                  <c:v>2004</c:v>
                </c:pt>
                <c:pt idx="69">
                  <c:v>2005</c:v>
                </c:pt>
                <c:pt idx="70">
                  <c:v>2006</c:v>
                </c:pt>
                <c:pt idx="71">
                  <c:v>2007</c:v>
                </c:pt>
                <c:pt idx="72">
                  <c:v>2008</c:v>
                </c:pt>
                <c:pt idx="73">
                  <c:v>2009</c:v>
                </c:pt>
                <c:pt idx="74">
                  <c:v>2010</c:v>
                </c:pt>
                <c:pt idx="75">
                  <c:v>2011</c:v>
                </c:pt>
                <c:pt idx="76">
                  <c:v>2012</c:v>
                </c:pt>
                <c:pt idx="77">
                  <c:v>2013</c:v>
                </c:pt>
                <c:pt idx="78">
                  <c:v>2014</c:v>
                </c:pt>
                <c:pt idx="79">
                  <c:v>2015</c:v>
                </c:pt>
                <c:pt idx="80">
                  <c:v>2016</c:v>
                </c:pt>
                <c:pt idx="81">
                  <c:v>2017</c:v>
                </c:pt>
                <c:pt idx="82">
                  <c:v>2018</c:v>
                </c:pt>
                <c:pt idx="83">
                  <c:v>2019</c:v>
                </c:pt>
                <c:pt idx="84">
                  <c:v>2020</c:v>
                </c:pt>
                <c:pt idx="85">
                  <c:v>2021</c:v>
                </c:pt>
                <c:pt idx="86">
                  <c:v>2022</c:v>
                </c:pt>
                <c:pt idx="87">
                  <c:v>2023</c:v>
                </c:pt>
                <c:pt idx="88">
                  <c:v>2024</c:v>
                </c:pt>
              </c:numCache>
            </c:numRef>
          </c:cat>
          <c:val>
            <c:numRef>
              <c:f>Corporaciones!$X$7:$X$95</c:f>
              <c:numCache>
                <c:formatCode>General</c:formatCode>
                <c:ptCount val="89"/>
                <c:pt idx="0">
                  <c:v>1.2806276753198202</c:v>
                </c:pt>
                <c:pt idx="1">
                  <c:v>1.2263436784267172</c:v>
                </c:pt>
                <c:pt idx="2">
                  <c:v>1.0996831426278628</c:v>
                </c:pt>
                <c:pt idx="3">
                  <c:v>1.1421306491229508</c:v>
                </c:pt>
                <c:pt idx="4">
                  <c:v>1.2207440408398202</c:v>
                </c:pt>
                <c:pt idx="5">
                  <c:v>1.2056853542257782</c:v>
                </c:pt>
                <c:pt idx="6">
                  <c:v>1.1002621348844979</c:v>
                </c:pt>
                <c:pt idx="7">
                  <c:v>1.0651284186106154</c:v>
                </c:pt>
                <c:pt idx="8">
                  <c:v>1.139179202046394</c:v>
                </c:pt>
                <c:pt idx="9">
                  <c:v>1.200334128239543</c:v>
                </c:pt>
                <c:pt idx="10">
                  <c:v>1.1117674407043399</c:v>
                </c:pt>
                <c:pt idx="11">
                  <c:v>1.1411585758196405</c:v>
                </c:pt>
                <c:pt idx="12">
                  <c:v>1.2499608205367085</c:v>
                </c:pt>
                <c:pt idx="13">
                  <c:v>1.7154378694960881</c:v>
                </c:pt>
                <c:pt idx="14">
                  <c:v>1.9278524893771569</c:v>
                </c:pt>
                <c:pt idx="15">
                  <c:v>1.8590955930884157</c:v>
                </c:pt>
                <c:pt idx="16">
                  <c:v>2.07701999086914</c:v>
                </c:pt>
                <c:pt idx="17">
                  <c:v>2.6869385132691876</c:v>
                </c:pt>
                <c:pt idx="18">
                  <c:v>2.8374038052825572</c:v>
                </c:pt>
                <c:pt idx="19">
                  <c:v>2.4144955970228472</c:v>
                </c:pt>
                <c:pt idx="20">
                  <c:v>1.0237707751867353</c:v>
                </c:pt>
                <c:pt idx="21">
                  <c:v>1.2417261652669935</c:v>
                </c:pt>
                <c:pt idx="22">
                  <c:v>1.5953161940750318</c:v>
                </c:pt>
                <c:pt idx="23">
                  <c:v>0.78086039879699087</c:v>
                </c:pt>
                <c:pt idx="24">
                  <c:v>0.95325623672977411</c:v>
                </c:pt>
                <c:pt idx="25">
                  <c:v>1.0576251264199674</c:v>
                </c:pt>
                <c:pt idx="26">
                  <c:v>0.95875931047926999</c:v>
                </c:pt>
                <c:pt idx="27">
                  <c:v>0.97554313568911388</c:v>
                </c:pt>
                <c:pt idx="28">
                  <c:v>1.1302400497544502</c:v>
                </c:pt>
                <c:pt idx="29">
                  <c:v>1.1857824445604055</c:v>
                </c:pt>
                <c:pt idx="30">
                  <c:v>1.2140054306968904</c:v>
                </c:pt>
                <c:pt idx="31">
                  <c:v>0.93545422800096489</c:v>
                </c:pt>
                <c:pt idx="32">
                  <c:v>0.98835717063626227</c:v>
                </c:pt>
                <c:pt idx="33">
                  <c:v>0.93717010714875404</c:v>
                </c:pt>
                <c:pt idx="34">
                  <c:v>0.94084882982887441</c:v>
                </c:pt>
                <c:pt idx="35">
                  <c:v>1.0301863891392951</c:v>
                </c:pt>
                <c:pt idx="36">
                  <c:v>0.91191114211898683</c:v>
                </c:pt>
                <c:pt idx="37">
                  <c:v>1.2612487459419885</c:v>
                </c:pt>
                <c:pt idx="38">
                  <c:v>1.3473791744662746</c:v>
                </c:pt>
                <c:pt idx="39">
                  <c:v>1.2460131946869091</c:v>
                </c:pt>
                <c:pt idx="40">
                  <c:v>0.92315565426442125</c:v>
                </c:pt>
                <c:pt idx="41">
                  <c:v>1.0630171325632476</c:v>
                </c:pt>
                <c:pt idx="42">
                  <c:v>1.4949180863795322</c:v>
                </c:pt>
                <c:pt idx="43">
                  <c:v>1.9676385541541348</c:v>
                </c:pt>
                <c:pt idx="44">
                  <c:v>2.4960946997539155</c:v>
                </c:pt>
                <c:pt idx="45">
                  <c:v>2.0675597507200161</c:v>
                </c:pt>
                <c:pt idx="46">
                  <c:v>1.1010464058723435</c:v>
                </c:pt>
                <c:pt idx="47">
                  <c:v>0.95646909562873006</c:v>
                </c:pt>
                <c:pt idx="48">
                  <c:v>1.0709083980860596</c:v>
                </c:pt>
                <c:pt idx="49">
                  <c:v>0.99309911259121275</c:v>
                </c:pt>
                <c:pt idx="50">
                  <c:v>1.1649541625426849</c:v>
                </c:pt>
                <c:pt idx="51">
                  <c:v>1.1712792438929924</c:v>
                </c:pt>
                <c:pt idx="52">
                  <c:v>1.2923328341011062</c:v>
                </c:pt>
                <c:pt idx="53">
                  <c:v>0.93716209867632361</c:v>
                </c:pt>
                <c:pt idx="54">
                  <c:v>1.9177164492488059</c:v>
                </c:pt>
                <c:pt idx="55">
                  <c:v>2.2684965672820172</c:v>
                </c:pt>
                <c:pt idx="56">
                  <c:v>2.508148797585406</c:v>
                </c:pt>
                <c:pt idx="57">
                  <c:v>2.5682340822237406</c:v>
                </c:pt>
                <c:pt idx="58">
                  <c:v>2.4210389334050424</c:v>
                </c:pt>
                <c:pt idx="59">
                  <c:v>2.4663208134232821</c:v>
                </c:pt>
                <c:pt idx="60">
                  <c:v>2.3109620209929895</c:v>
                </c:pt>
                <c:pt idx="61">
                  <c:v>2.2736121485324086</c:v>
                </c:pt>
                <c:pt idx="62">
                  <c:v>2.302514655495087</c:v>
                </c:pt>
                <c:pt idx="63">
                  <c:v>2.3886413343096469</c:v>
                </c:pt>
                <c:pt idx="64">
                  <c:v>2.3709480585437075</c:v>
                </c:pt>
                <c:pt idx="65">
                  <c:v>2.3115431315138935</c:v>
                </c:pt>
                <c:pt idx="66">
                  <c:v>1.0367965488549988</c:v>
                </c:pt>
                <c:pt idx="67">
                  <c:v>1.3215776767879275</c:v>
                </c:pt>
                <c:pt idx="68">
                  <c:v>1.3597839586968314</c:v>
                </c:pt>
                <c:pt idx="69">
                  <c:v>1.3961551415367712</c:v>
                </c:pt>
                <c:pt idx="70">
                  <c:v>1.3835014437330386</c:v>
                </c:pt>
                <c:pt idx="71">
                  <c:v>1.4750298130673274</c:v>
                </c:pt>
                <c:pt idx="72">
                  <c:v>1.7360092557711437</c:v>
                </c:pt>
                <c:pt idx="73">
                  <c:v>1.8436714638805509</c:v>
                </c:pt>
                <c:pt idx="74">
                  <c:v>2.0621867353849934</c:v>
                </c:pt>
                <c:pt idx="75">
                  <c:v>2.2557528037315793</c:v>
                </c:pt>
                <c:pt idx="76">
                  <c:v>2.5367793391637217</c:v>
                </c:pt>
                <c:pt idx="77">
                  <c:v>2.5831182021235644</c:v>
                </c:pt>
                <c:pt idx="78">
                  <c:v>2.4231395523342072</c:v>
                </c:pt>
                <c:pt idx="79">
                  <c:v>2.6102313583663292</c:v>
                </c:pt>
                <c:pt idx="80">
                  <c:v>2.4052573682981007</c:v>
                </c:pt>
                <c:pt idx="81">
                  <c:v>2.6639773021855881</c:v>
                </c:pt>
                <c:pt idx="82">
                  <c:v>2.1738670354743452</c:v>
                </c:pt>
                <c:pt idx="83">
                  <c:v>2.0229656072787146</c:v>
                </c:pt>
                <c:pt idx="84">
                  <c:v>2.0246217933864381</c:v>
                </c:pt>
                <c:pt idx="85">
                  <c:v>2.2277038461889735</c:v>
                </c:pt>
                <c:pt idx="86">
                  <c:v>2.5035997813968081</c:v>
                </c:pt>
                <c:pt idx="87">
                  <c:v>2.6534270096660921</c:v>
                </c:pt>
                <c:pt idx="88">
                  <c:v>2.6412919304513522</c:v>
                </c:pt>
              </c:numCache>
            </c:numRef>
          </c:val>
        </c:ser>
        <c:ser>
          <c:idx val="1"/>
          <c:order val="1"/>
          <c:tx>
            <c:strRef>
              <c:f>Corporaciones!$AH$2</c:f>
              <c:strCache>
                <c:ptCount val="1"/>
                <c:pt idx="0">
                  <c:v>IPC</c:v>
                </c:pt>
              </c:strCache>
            </c:strRef>
          </c:tx>
          <c:marker>
            <c:symbol val="none"/>
          </c:marker>
          <c:cat>
            <c:numRef>
              <c:f>'Largo Plazo'!$A$7:$A$95</c:f>
              <c:numCache>
                <c:formatCode>General</c:formatCode>
                <c:ptCount val="89"/>
                <c:pt idx="0">
                  <c:v>1936</c:v>
                </c:pt>
                <c:pt idx="1">
                  <c:v>1937</c:v>
                </c:pt>
                <c:pt idx="2">
                  <c:v>1938</c:v>
                </c:pt>
                <c:pt idx="3">
                  <c:v>1939</c:v>
                </c:pt>
                <c:pt idx="4">
                  <c:v>1940</c:v>
                </c:pt>
                <c:pt idx="5">
                  <c:v>1941</c:v>
                </c:pt>
                <c:pt idx="6">
                  <c:v>1942</c:v>
                </c:pt>
                <c:pt idx="7">
                  <c:v>1943</c:v>
                </c:pt>
                <c:pt idx="8">
                  <c:v>1944</c:v>
                </c:pt>
                <c:pt idx="9">
                  <c:v>1945</c:v>
                </c:pt>
                <c:pt idx="10">
                  <c:v>1946</c:v>
                </c:pt>
                <c:pt idx="11">
                  <c:v>1947</c:v>
                </c:pt>
                <c:pt idx="12">
                  <c:v>1948</c:v>
                </c:pt>
                <c:pt idx="13">
                  <c:v>1949</c:v>
                </c:pt>
                <c:pt idx="14">
                  <c:v>1950</c:v>
                </c:pt>
                <c:pt idx="15">
                  <c:v>1951</c:v>
                </c:pt>
                <c:pt idx="16">
                  <c:v>1952</c:v>
                </c:pt>
                <c:pt idx="17">
                  <c:v>1953</c:v>
                </c:pt>
                <c:pt idx="18">
                  <c:v>1954</c:v>
                </c:pt>
                <c:pt idx="19">
                  <c:v>1955</c:v>
                </c:pt>
                <c:pt idx="20">
                  <c:v>1956</c:v>
                </c:pt>
                <c:pt idx="21">
                  <c:v>1957</c:v>
                </c:pt>
                <c:pt idx="22">
                  <c:v>1958</c:v>
                </c:pt>
                <c:pt idx="23">
                  <c:v>1959</c:v>
                </c:pt>
                <c:pt idx="24">
                  <c:v>1960</c:v>
                </c:pt>
                <c:pt idx="25">
                  <c:v>1961</c:v>
                </c:pt>
                <c:pt idx="26">
                  <c:v>1962</c:v>
                </c:pt>
                <c:pt idx="27">
                  <c:v>1963</c:v>
                </c:pt>
                <c:pt idx="28">
                  <c:v>1964</c:v>
                </c:pt>
                <c:pt idx="29">
                  <c:v>1965</c:v>
                </c:pt>
                <c:pt idx="30">
                  <c:v>1966</c:v>
                </c:pt>
                <c:pt idx="31">
                  <c:v>1967</c:v>
                </c:pt>
                <c:pt idx="32">
                  <c:v>1968</c:v>
                </c:pt>
                <c:pt idx="33">
                  <c:v>1969</c:v>
                </c:pt>
                <c:pt idx="34">
                  <c:v>1970</c:v>
                </c:pt>
                <c:pt idx="35">
                  <c:v>1971</c:v>
                </c:pt>
                <c:pt idx="36">
                  <c:v>1972</c:v>
                </c:pt>
                <c:pt idx="37">
                  <c:v>1973</c:v>
                </c:pt>
                <c:pt idx="38">
                  <c:v>1974</c:v>
                </c:pt>
                <c:pt idx="39">
                  <c:v>1975</c:v>
                </c:pt>
                <c:pt idx="40">
                  <c:v>1976</c:v>
                </c:pt>
                <c:pt idx="41">
                  <c:v>1977</c:v>
                </c:pt>
                <c:pt idx="42">
                  <c:v>1978</c:v>
                </c:pt>
                <c:pt idx="43">
                  <c:v>1979</c:v>
                </c:pt>
                <c:pt idx="44">
                  <c:v>1980</c:v>
                </c:pt>
                <c:pt idx="45">
                  <c:v>1981</c:v>
                </c:pt>
                <c:pt idx="46">
                  <c:v>1982</c:v>
                </c:pt>
                <c:pt idx="47">
                  <c:v>1983</c:v>
                </c:pt>
                <c:pt idx="48">
                  <c:v>1984</c:v>
                </c:pt>
                <c:pt idx="49">
                  <c:v>1985</c:v>
                </c:pt>
                <c:pt idx="50">
                  <c:v>1986</c:v>
                </c:pt>
                <c:pt idx="51">
                  <c:v>1987</c:v>
                </c:pt>
                <c:pt idx="52">
                  <c:v>1988</c:v>
                </c:pt>
                <c:pt idx="53">
                  <c:v>1989</c:v>
                </c:pt>
                <c:pt idx="54">
                  <c:v>1990</c:v>
                </c:pt>
                <c:pt idx="55">
                  <c:v>1991</c:v>
                </c:pt>
                <c:pt idx="56">
                  <c:v>1992</c:v>
                </c:pt>
                <c:pt idx="57">
                  <c:v>1993</c:v>
                </c:pt>
                <c:pt idx="58">
                  <c:v>1994</c:v>
                </c:pt>
                <c:pt idx="59">
                  <c:v>1995</c:v>
                </c:pt>
                <c:pt idx="60">
                  <c:v>1996</c:v>
                </c:pt>
                <c:pt idx="61">
                  <c:v>1997</c:v>
                </c:pt>
                <c:pt idx="62">
                  <c:v>1998</c:v>
                </c:pt>
                <c:pt idx="63">
                  <c:v>1999</c:v>
                </c:pt>
                <c:pt idx="64">
                  <c:v>2000</c:v>
                </c:pt>
                <c:pt idx="65">
                  <c:v>2001</c:v>
                </c:pt>
                <c:pt idx="66">
                  <c:v>2002</c:v>
                </c:pt>
                <c:pt idx="67">
                  <c:v>2003</c:v>
                </c:pt>
                <c:pt idx="68">
                  <c:v>2004</c:v>
                </c:pt>
                <c:pt idx="69">
                  <c:v>2005</c:v>
                </c:pt>
                <c:pt idx="70">
                  <c:v>2006</c:v>
                </c:pt>
                <c:pt idx="71">
                  <c:v>2007</c:v>
                </c:pt>
                <c:pt idx="72">
                  <c:v>2008</c:v>
                </c:pt>
                <c:pt idx="73">
                  <c:v>2009</c:v>
                </c:pt>
                <c:pt idx="74">
                  <c:v>2010</c:v>
                </c:pt>
                <c:pt idx="75">
                  <c:v>2011</c:v>
                </c:pt>
                <c:pt idx="76">
                  <c:v>2012</c:v>
                </c:pt>
                <c:pt idx="77">
                  <c:v>2013</c:v>
                </c:pt>
                <c:pt idx="78">
                  <c:v>2014</c:v>
                </c:pt>
                <c:pt idx="79">
                  <c:v>2015</c:v>
                </c:pt>
                <c:pt idx="80">
                  <c:v>2016</c:v>
                </c:pt>
                <c:pt idx="81">
                  <c:v>2017</c:v>
                </c:pt>
                <c:pt idx="82">
                  <c:v>2018</c:v>
                </c:pt>
                <c:pt idx="83">
                  <c:v>2019</c:v>
                </c:pt>
                <c:pt idx="84">
                  <c:v>2020</c:v>
                </c:pt>
                <c:pt idx="85">
                  <c:v>2021</c:v>
                </c:pt>
                <c:pt idx="86">
                  <c:v>2022</c:v>
                </c:pt>
                <c:pt idx="87">
                  <c:v>2023</c:v>
                </c:pt>
                <c:pt idx="88">
                  <c:v>2024</c:v>
                </c:pt>
              </c:numCache>
            </c:numRef>
          </c:cat>
          <c:val>
            <c:numRef>
              <c:f>Corporaciones!$AJ$7:$AJ$95</c:f>
              <c:numCache>
                <c:formatCode>General</c:formatCode>
                <c:ptCount val="89"/>
                <c:pt idx="0">
                  <c:v>1.30677165982571</c:v>
                </c:pt>
                <c:pt idx="1">
                  <c:v>1.2861725195373379</c:v>
                </c:pt>
                <c:pt idx="2">
                  <c:v>1.2874920417467586</c:v>
                </c:pt>
                <c:pt idx="3">
                  <c:v>1.2456668330342522</c:v>
                </c:pt>
                <c:pt idx="4">
                  <c:v>1.2304825631889695</c:v>
                </c:pt>
                <c:pt idx="5">
                  <c:v>1.203323812817122</c:v>
                </c:pt>
                <c:pt idx="6">
                  <c:v>1.1467989492219217</c:v>
                </c:pt>
                <c:pt idx="7">
                  <c:v>1.0923567202504516</c:v>
                </c:pt>
                <c:pt idx="8">
                  <c:v>1.0705326689765979</c:v>
                </c:pt>
                <c:pt idx="9">
                  <c:v>1.2530426638884322</c:v>
                </c:pt>
                <c:pt idx="10">
                  <c:v>1.3616638578413274</c:v>
                </c:pt>
                <c:pt idx="11">
                  <c:v>1.3517617875511476</c:v>
                </c:pt>
                <c:pt idx="12">
                  <c:v>1.4142288295344858</c:v>
                </c:pt>
                <c:pt idx="13">
                  <c:v>1.8774927893285884</c:v>
                </c:pt>
                <c:pt idx="14">
                  <c:v>1.9999537789911062</c:v>
                </c:pt>
                <c:pt idx="15">
                  <c:v>1.982038865378478</c:v>
                </c:pt>
                <c:pt idx="16">
                  <c:v>2.2015589938115876</c:v>
                </c:pt>
                <c:pt idx="17">
                  <c:v>2.7835262996712693</c:v>
                </c:pt>
                <c:pt idx="18">
                  <c:v>2.8677558821772857</c:v>
                </c:pt>
                <c:pt idx="19">
                  <c:v>2.3424835174856691</c:v>
                </c:pt>
                <c:pt idx="20">
                  <c:v>1.0036809685802959</c:v>
                </c:pt>
                <c:pt idx="21">
                  <c:v>1.2111964583277119</c:v>
                </c:pt>
                <c:pt idx="22">
                  <c:v>1.5501217356710162</c:v>
                </c:pt>
                <c:pt idx="23">
                  <c:v>0.73454180300492533</c:v>
                </c:pt>
                <c:pt idx="24">
                  <c:v>0.89500039938439324</c:v>
                </c:pt>
                <c:pt idx="25">
                  <c:v>1.0044762822805173</c:v>
                </c:pt>
                <c:pt idx="26">
                  <c:v>0.91028041555373418</c:v>
                </c:pt>
                <c:pt idx="27">
                  <c:v>0.92974526116567802</c:v>
                </c:pt>
                <c:pt idx="28">
                  <c:v>1.105311676835891</c:v>
                </c:pt>
                <c:pt idx="29">
                  <c:v>1.1739701241329037</c:v>
                </c:pt>
                <c:pt idx="30">
                  <c:v>1.2217744979197234</c:v>
                </c:pt>
                <c:pt idx="31">
                  <c:v>0.95776861678329173</c:v>
                </c:pt>
                <c:pt idx="32">
                  <c:v>1.0103786636066643</c:v>
                </c:pt>
                <c:pt idx="33">
                  <c:v>0.98884386370583155</c:v>
                </c:pt>
                <c:pt idx="34">
                  <c:v>1.0187641144127864</c:v>
                </c:pt>
                <c:pt idx="35">
                  <c:v>1.0894306290759395</c:v>
                </c:pt>
                <c:pt idx="36">
                  <c:v>0.95971365213772419</c:v>
                </c:pt>
                <c:pt idx="37">
                  <c:v>1.3351011426703998</c:v>
                </c:pt>
                <c:pt idx="38">
                  <c:v>1.493078851001564</c:v>
                </c:pt>
                <c:pt idx="39">
                  <c:v>1.3071583464477134</c:v>
                </c:pt>
                <c:pt idx="40">
                  <c:v>0.94417273283027225</c:v>
                </c:pt>
                <c:pt idx="41">
                  <c:v>1.1061720826002401</c:v>
                </c:pt>
                <c:pt idx="42">
                  <c:v>1.4516987357856912</c:v>
                </c:pt>
                <c:pt idx="43">
                  <c:v>2.0401173175351928</c:v>
                </c:pt>
                <c:pt idx="44">
                  <c:v>2.5840764974828869</c:v>
                </c:pt>
                <c:pt idx="45">
                  <c:v>1.9871927073394395</c:v>
                </c:pt>
                <c:pt idx="46">
                  <c:v>1.0118645470519738</c:v>
                </c:pt>
                <c:pt idx="47">
                  <c:v>0.89247499638204186</c:v>
                </c:pt>
                <c:pt idx="48">
                  <c:v>0.96709794194902832</c:v>
                </c:pt>
                <c:pt idx="49">
                  <c:v>0.81355258827468635</c:v>
                </c:pt>
                <c:pt idx="50">
                  <c:v>0.96713951394631148</c:v>
                </c:pt>
                <c:pt idx="51">
                  <c:v>0.94994798999524921</c:v>
                </c:pt>
                <c:pt idx="52">
                  <c:v>0.99280483137187037</c:v>
                </c:pt>
                <c:pt idx="53">
                  <c:v>0.66601983500568906</c:v>
                </c:pt>
                <c:pt idx="54">
                  <c:v>1.3377522207378627</c:v>
                </c:pt>
                <c:pt idx="55">
                  <c:v>1.6482532910909939</c:v>
                </c:pt>
                <c:pt idx="56">
                  <c:v>1.9179070761787149</c:v>
                </c:pt>
                <c:pt idx="57">
                  <c:v>2.0596925361734888</c:v>
                </c:pt>
                <c:pt idx="58">
                  <c:v>2.0704439753239012</c:v>
                </c:pt>
                <c:pt idx="59">
                  <c:v>2.1025354527057023</c:v>
                </c:pt>
                <c:pt idx="60">
                  <c:v>2.0252410937494476</c:v>
                </c:pt>
                <c:pt idx="61">
                  <c:v>1.9901328974624108</c:v>
                </c:pt>
                <c:pt idx="62">
                  <c:v>1.97826449290108</c:v>
                </c:pt>
                <c:pt idx="63">
                  <c:v>1.9127911168696758</c:v>
                </c:pt>
                <c:pt idx="64">
                  <c:v>1.8328327439835284</c:v>
                </c:pt>
                <c:pt idx="65">
                  <c:v>1.7630164658539509</c:v>
                </c:pt>
                <c:pt idx="66">
                  <c:v>0.6959291937700578</c:v>
                </c:pt>
                <c:pt idx="67">
                  <c:v>0.82745861644340124</c:v>
                </c:pt>
                <c:pt idx="68">
                  <c:v>0.84152319829574385</c:v>
                </c:pt>
                <c:pt idx="69">
                  <c:v>0.89256395803936517</c:v>
                </c:pt>
                <c:pt idx="70">
                  <c:v>0.90710205099579899</c:v>
                </c:pt>
                <c:pt idx="71">
                  <c:v>1.0295221375198433</c:v>
                </c:pt>
                <c:pt idx="72">
                  <c:v>1.2344894093082754</c:v>
                </c:pt>
                <c:pt idx="73">
                  <c:v>1.2049157558852939</c:v>
                </c:pt>
                <c:pt idx="74">
                  <c:v>1.4066399599386814</c:v>
                </c:pt>
                <c:pt idx="75">
                  <c:v>1.593104930907125</c:v>
                </c:pt>
                <c:pt idx="76">
                  <c:v>1.7423516661404792</c:v>
                </c:pt>
                <c:pt idx="77">
                  <c:v>1.7869099323685009</c:v>
                </c:pt>
                <c:pt idx="78">
                  <c:v>1.6467444951774499</c:v>
                </c:pt>
                <c:pt idx="79">
                  <c:v>1.7779465441396178</c:v>
                </c:pt>
                <c:pt idx="80">
                  <c:v>1.5841768183604661</c:v>
                </c:pt>
                <c:pt idx="81">
                  <c:v>1.7521512843313012</c:v>
                </c:pt>
                <c:pt idx="82">
                  <c:v>1.3516059232476827</c:v>
                </c:pt>
                <c:pt idx="83">
                  <c:v>1.1886262947824062</c:v>
                </c:pt>
                <c:pt idx="84">
                  <c:v>1.138758167235763</c:v>
                </c:pt>
                <c:pt idx="85">
                  <c:v>1.1983808433103198</c:v>
                </c:pt>
                <c:pt idx="86">
                  <c:v>1.3899808930972222</c:v>
                </c:pt>
                <c:pt idx="87">
                  <c:v>1.3947776405936207</c:v>
                </c:pt>
                <c:pt idx="88">
                  <c:v>1.3637671587799556</c:v>
                </c:pt>
              </c:numCache>
            </c:numRef>
          </c:val>
        </c:ser>
        <c:ser>
          <c:idx val="2"/>
          <c:order val="2"/>
          <c:tx>
            <c:v>IPC ENGE Sin Imp</c:v>
          </c:tx>
          <c:marker>
            <c:symbol val="none"/>
          </c:marker>
          <c:cat>
            <c:numRef>
              <c:f>'Largo Plazo'!$A$7:$A$95</c:f>
              <c:numCache>
                <c:formatCode>General</c:formatCode>
                <c:ptCount val="89"/>
                <c:pt idx="0">
                  <c:v>1936</c:v>
                </c:pt>
                <c:pt idx="1">
                  <c:v>1937</c:v>
                </c:pt>
                <c:pt idx="2">
                  <c:v>1938</c:v>
                </c:pt>
                <c:pt idx="3">
                  <c:v>1939</c:v>
                </c:pt>
                <c:pt idx="4">
                  <c:v>1940</c:v>
                </c:pt>
                <c:pt idx="5">
                  <c:v>1941</c:v>
                </c:pt>
                <c:pt idx="6">
                  <c:v>1942</c:v>
                </c:pt>
                <c:pt idx="7">
                  <c:v>1943</c:v>
                </c:pt>
                <c:pt idx="8">
                  <c:v>1944</c:v>
                </c:pt>
                <c:pt idx="9">
                  <c:v>1945</c:v>
                </c:pt>
                <c:pt idx="10">
                  <c:v>1946</c:v>
                </c:pt>
                <c:pt idx="11">
                  <c:v>1947</c:v>
                </c:pt>
                <c:pt idx="12">
                  <c:v>1948</c:v>
                </c:pt>
                <c:pt idx="13">
                  <c:v>1949</c:v>
                </c:pt>
                <c:pt idx="14">
                  <c:v>1950</c:v>
                </c:pt>
                <c:pt idx="15">
                  <c:v>1951</c:v>
                </c:pt>
                <c:pt idx="16">
                  <c:v>1952</c:v>
                </c:pt>
                <c:pt idx="17">
                  <c:v>1953</c:v>
                </c:pt>
                <c:pt idx="18">
                  <c:v>1954</c:v>
                </c:pt>
                <c:pt idx="19">
                  <c:v>1955</c:v>
                </c:pt>
                <c:pt idx="20">
                  <c:v>1956</c:v>
                </c:pt>
                <c:pt idx="21">
                  <c:v>1957</c:v>
                </c:pt>
                <c:pt idx="22">
                  <c:v>1958</c:v>
                </c:pt>
                <c:pt idx="23">
                  <c:v>1959</c:v>
                </c:pt>
                <c:pt idx="24">
                  <c:v>1960</c:v>
                </c:pt>
                <c:pt idx="25">
                  <c:v>1961</c:v>
                </c:pt>
                <c:pt idx="26">
                  <c:v>1962</c:v>
                </c:pt>
                <c:pt idx="27">
                  <c:v>1963</c:v>
                </c:pt>
                <c:pt idx="28">
                  <c:v>1964</c:v>
                </c:pt>
                <c:pt idx="29">
                  <c:v>1965</c:v>
                </c:pt>
                <c:pt idx="30">
                  <c:v>1966</c:v>
                </c:pt>
                <c:pt idx="31">
                  <c:v>1967</c:v>
                </c:pt>
                <c:pt idx="32">
                  <c:v>1968</c:v>
                </c:pt>
                <c:pt idx="33">
                  <c:v>1969</c:v>
                </c:pt>
                <c:pt idx="34">
                  <c:v>1970</c:v>
                </c:pt>
                <c:pt idx="35">
                  <c:v>1971</c:v>
                </c:pt>
                <c:pt idx="36">
                  <c:v>1972</c:v>
                </c:pt>
                <c:pt idx="37">
                  <c:v>1973</c:v>
                </c:pt>
                <c:pt idx="38">
                  <c:v>1974</c:v>
                </c:pt>
                <c:pt idx="39">
                  <c:v>1975</c:v>
                </c:pt>
                <c:pt idx="40">
                  <c:v>1976</c:v>
                </c:pt>
                <c:pt idx="41">
                  <c:v>1977</c:v>
                </c:pt>
                <c:pt idx="42">
                  <c:v>1978</c:v>
                </c:pt>
                <c:pt idx="43">
                  <c:v>1979</c:v>
                </c:pt>
                <c:pt idx="44">
                  <c:v>1980</c:v>
                </c:pt>
                <c:pt idx="45">
                  <c:v>1981</c:v>
                </c:pt>
                <c:pt idx="46">
                  <c:v>1982</c:v>
                </c:pt>
                <c:pt idx="47">
                  <c:v>1983</c:v>
                </c:pt>
                <c:pt idx="48">
                  <c:v>1984</c:v>
                </c:pt>
                <c:pt idx="49">
                  <c:v>1985</c:v>
                </c:pt>
                <c:pt idx="50">
                  <c:v>1986</c:v>
                </c:pt>
                <c:pt idx="51">
                  <c:v>1987</c:v>
                </c:pt>
                <c:pt idx="52">
                  <c:v>1988</c:v>
                </c:pt>
                <c:pt idx="53">
                  <c:v>1989</c:v>
                </c:pt>
                <c:pt idx="54">
                  <c:v>1990</c:v>
                </c:pt>
                <c:pt idx="55">
                  <c:v>1991</c:v>
                </c:pt>
                <c:pt idx="56">
                  <c:v>1992</c:v>
                </c:pt>
                <c:pt idx="57">
                  <c:v>1993</c:v>
                </c:pt>
                <c:pt idx="58">
                  <c:v>1994</c:v>
                </c:pt>
                <c:pt idx="59">
                  <c:v>1995</c:v>
                </c:pt>
                <c:pt idx="60">
                  <c:v>1996</c:v>
                </c:pt>
                <c:pt idx="61">
                  <c:v>1997</c:v>
                </c:pt>
                <c:pt idx="62">
                  <c:v>1998</c:v>
                </c:pt>
                <c:pt idx="63">
                  <c:v>1999</c:v>
                </c:pt>
                <c:pt idx="64">
                  <c:v>2000</c:v>
                </c:pt>
                <c:pt idx="65">
                  <c:v>2001</c:v>
                </c:pt>
                <c:pt idx="66">
                  <c:v>2002</c:v>
                </c:pt>
                <c:pt idx="67">
                  <c:v>2003</c:v>
                </c:pt>
                <c:pt idx="68">
                  <c:v>2004</c:v>
                </c:pt>
                <c:pt idx="69">
                  <c:v>2005</c:v>
                </c:pt>
                <c:pt idx="70">
                  <c:v>2006</c:v>
                </c:pt>
                <c:pt idx="71">
                  <c:v>2007</c:v>
                </c:pt>
                <c:pt idx="72">
                  <c:v>2008</c:v>
                </c:pt>
                <c:pt idx="73">
                  <c:v>2009</c:v>
                </c:pt>
                <c:pt idx="74">
                  <c:v>2010</c:v>
                </c:pt>
                <c:pt idx="75">
                  <c:v>2011</c:v>
                </c:pt>
                <c:pt idx="76">
                  <c:v>2012</c:v>
                </c:pt>
                <c:pt idx="77">
                  <c:v>2013</c:v>
                </c:pt>
                <c:pt idx="78">
                  <c:v>2014</c:v>
                </c:pt>
                <c:pt idx="79">
                  <c:v>2015</c:v>
                </c:pt>
                <c:pt idx="80">
                  <c:v>2016</c:v>
                </c:pt>
                <c:pt idx="81">
                  <c:v>2017</c:v>
                </c:pt>
                <c:pt idx="82">
                  <c:v>2018</c:v>
                </c:pt>
                <c:pt idx="83">
                  <c:v>2019</c:v>
                </c:pt>
                <c:pt idx="84">
                  <c:v>2020</c:v>
                </c:pt>
                <c:pt idx="85">
                  <c:v>2021</c:v>
                </c:pt>
                <c:pt idx="86">
                  <c:v>2022</c:v>
                </c:pt>
                <c:pt idx="87">
                  <c:v>2023</c:v>
                </c:pt>
                <c:pt idx="88">
                  <c:v>2024</c:v>
                </c:pt>
              </c:numCache>
            </c:numRef>
          </c:cat>
          <c:val>
            <c:numRef>
              <c:f>Corporaciones!$AB$7:$AB$95</c:f>
              <c:numCache>
                <c:formatCode>General</c:formatCode>
                <c:ptCount val="89"/>
                <c:pt idx="0">
                  <c:v>1.2806276753198216</c:v>
                </c:pt>
                <c:pt idx="1">
                  <c:v>1.2263436784267179</c:v>
                </c:pt>
                <c:pt idx="2">
                  <c:v>1.0996831426278635</c:v>
                </c:pt>
                <c:pt idx="3">
                  <c:v>1.1421306491229517</c:v>
                </c:pt>
                <c:pt idx="4">
                  <c:v>1.2207440408398205</c:v>
                </c:pt>
                <c:pt idx="5">
                  <c:v>1.2056853542257788</c:v>
                </c:pt>
                <c:pt idx="6">
                  <c:v>1.1002621348844983</c:v>
                </c:pt>
                <c:pt idx="7">
                  <c:v>1.065128418610616</c:v>
                </c:pt>
                <c:pt idx="8">
                  <c:v>1.1391792020463947</c:v>
                </c:pt>
                <c:pt idx="9">
                  <c:v>1.2003341282395434</c:v>
                </c:pt>
                <c:pt idx="10">
                  <c:v>1.1117674407043405</c:v>
                </c:pt>
                <c:pt idx="11">
                  <c:v>1.1411585758196408</c:v>
                </c:pt>
                <c:pt idx="12">
                  <c:v>1.2499608205367092</c:v>
                </c:pt>
                <c:pt idx="13">
                  <c:v>1.715437869496089</c:v>
                </c:pt>
                <c:pt idx="14">
                  <c:v>1.9278524893771578</c:v>
                </c:pt>
                <c:pt idx="15">
                  <c:v>1.8590955930884163</c:v>
                </c:pt>
                <c:pt idx="16">
                  <c:v>2.0770199908691409</c:v>
                </c:pt>
                <c:pt idx="17">
                  <c:v>2.686938513269189</c:v>
                </c:pt>
                <c:pt idx="18">
                  <c:v>2.837403805282559</c:v>
                </c:pt>
                <c:pt idx="19">
                  <c:v>2.4144955970228485</c:v>
                </c:pt>
                <c:pt idx="20">
                  <c:v>1.0237707751867355</c:v>
                </c:pt>
                <c:pt idx="21">
                  <c:v>1.2417261652669938</c:v>
                </c:pt>
                <c:pt idx="22">
                  <c:v>1.5953161940750322</c:v>
                </c:pt>
                <c:pt idx="23">
                  <c:v>0.7808603987969911</c:v>
                </c:pt>
                <c:pt idx="24">
                  <c:v>0.95325623672977444</c:v>
                </c:pt>
                <c:pt idx="25">
                  <c:v>1.0576251264199679</c:v>
                </c:pt>
                <c:pt idx="26">
                  <c:v>0.95875931047927021</c:v>
                </c:pt>
                <c:pt idx="27">
                  <c:v>0.97554313568911399</c:v>
                </c:pt>
                <c:pt idx="28">
                  <c:v>1.1302400497544505</c:v>
                </c:pt>
                <c:pt idx="29">
                  <c:v>1.1857824445604053</c:v>
                </c:pt>
                <c:pt idx="30">
                  <c:v>1.2140054306968902</c:v>
                </c:pt>
                <c:pt idx="31">
                  <c:v>0.93545422800096489</c:v>
                </c:pt>
                <c:pt idx="32">
                  <c:v>0.98835717063626216</c:v>
                </c:pt>
                <c:pt idx="33">
                  <c:v>0.93717010714875393</c:v>
                </c:pt>
                <c:pt idx="34">
                  <c:v>0.9408488298288743</c:v>
                </c:pt>
                <c:pt idx="35">
                  <c:v>1.0301863891392951</c:v>
                </c:pt>
                <c:pt idx="36">
                  <c:v>0.91191114211898672</c:v>
                </c:pt>
                <c:pt idx="37">
                  <c:v>1.2612487459419883</c:v>
                </c:pt>
                <c:pt idx="38">
                  <c:v>1.3473791744662749</c:v>
                </c:pt>
                <c:pt idx="39">
                  <c:v>1.2460131946869093</c:v>
                </c:pt>
                <c:pt idx="40">
                  <c:v>0.92315565426442125</c:v>
                </c:pt>
                <c:pt idx="41">
                  <c:v>1.0630171325632476</c:v>
                </c:pt>
                <c:pt idx="42">
                  <c:v>1.4949180863795319</c:v>
                </c:pt>
                <c:pt idx="43">
                  <c:v>1.9676385541541348</c:v>
                </c:pt>
                <c:pt idx="44">
                  <c:v>2.4960946997539155</c:v>
                </c:pt>
                <c:pt idx="45">
                  <c:v>2.0675597507200161</c:v>
                </c:pt>
                <c:pt idx="46">
                  <c:v>1.1010464058723433</c:v>
                </c:pt>
                <c:pt idx="47">
                  <c:v>0.95646909562872984</c:v>
                </c:pt>
                <c:pt idx="48">
                  <c:v>1.0709083980860596</c:v>
                </c:pt>
                <c:pt idx="49">
                  <c:v>0.99309911259121253</c:v>
                </c:pt>
                <c:pt idx="50">
                  <c:v>1.1649541625426845</c:v>
                </c:pt>
                <c:pt idx="51">
                  <c:v>1.1712792438929924</c:v>
                </c:pt>
                <c:pt idx="52">
                  <c:v>1.292332834101106</c:v>
                </c:pt>
                <c:pt idx="53">
                  <c:v>0.9371620986763235</c:v>
                </c:pt>
                <c:pt idx="54">
                  <c:v>1.9177164492488057</c:v>
                </c:pt>
                <c:pt idx="55">
                  <c:v>2.2684965672820172</c:v>
                </c:pt>
                <c:pt idx="56">
                  <c:v>2.5081487975854051</c:v>
                </c:pt>
                <c:pt idx="57">
                  <c:v>2.5682340822237393</c:v>
                </c:pt>
                <c:pt idx="58">
                  <c:v>2.2390180700131155</c:v>
                </c:pt>
                <c:pt idx="59">
                  <c:v>2.435160337464068</c:v>
                </c:pt>
                <c:pt idx="60">
                  <c:v>2.31160834697108</c:v>
                </c:pt>
                <c:pt idx="61">
                  <c:v>2.3084787807321967</c:v>
                </c:pt>
                <c:pt idx="62">
                  <c:v>2.2457441948112957</c:v>
                </c:pt>
                <c:pt idx="63">
                  <c:v>2.441434663348002</c:v>
                </c:pt>
                <c:pt idx="64">
                  <c:v>2.2171455666453905</c:v>
                </c:pt>
                <c:pt idx="65">
                  <c:v>2.138990319232549</c:v>
                </c:pt>
                <c:pt idx="66">
                  <c:v>0.70334460410768984</c:v>
                </c:pt>
                <c:pt idx="67">
                  <c:v>0.88874531464876816</c:v>
                </c:pt>
                <c:pt idx="68">
                  <c:v>0.8253167658274837</c:v>
                </c:pt>
                <c:pt idx="69">
                  <c:v>0.92245975658310442</c:v>
                </c:pt>
                <c:pt idx="70">
                  <c:v>0.94068197490188754</c:v>
                </c:pt>
                <c:pt idx="71">
                  <c:v>0.9984789554114073</c:v>
                </c:pt>
                <c:pt idx="72">
                  <c:v>1.2050532581875004</c:v>
                </c:pt>
                <c:pt idx="73">
                  <c:v>1.3529463797850703</c:v>
                </c:pt>
                <c:pt idx="74">
                  <c:v>1.5414594624618423</c:v>
                </c:pt>
                <c:pt idx="75">
                  <c:v>1.6889529671552026</c:v>
                </c:pt>
                <c:pt idx="76">
                  <c:v>2.0294286823029335</c:v>
                </c:pt>
                <c:pt idx="77">
                  <c:v>2.0993718942280677</c:v>
                </c:pt>
                <c:pt idx="78">
                  <c:v>1.9893062190586728</c:v>
                </c:pt>
                <c:pt idx="79">
                  <c:v>2.0221686719741516</c:v>
                </c:pt>
                <c:pt idx="80">
                  <c:v>1.8967811264676557</c:v>
                </c:pt>
                <c:pt idx="81">
                  <c:v>2.0083343518324548</c:v>
                </c:pt>
                <c:pt idx="82">
                  <c:v>1.3158199636005603</c:v>
                </c:pt>
                <c:pt idx="83">
                  <c:v>1.2303456946479132</c:v>
                </c:pt>
                <c:pt idx="84">
                  <c:v>1.4776045380338696</c:v>
                </c:pt>
                <c:pt idx="85">
                  <c:v>1.787732059018043</c:v>
                </c:pt>
                <c:pt idx="86">
                  <c:v>1.9193539727146773</c:v>
                </c:pt>
                <c:pt idx="87">
                  <c:v>2.1673464871099068</c:v>
                </c:pt>
                <c:pt idx="88">
                  <c:v>2.1191592658164624</c:v>
                </c:pt>
              </c:numCache>
            </c:numRef>
          </c:val>
        </c:ser>
        <c:ser>
          <c:idx val="3"/>
          <c:order val="3"/>
          <c:tx>
            <c:v>IPC ENGE Con Imp</c:v>
          </c:tx>
          <c:marker>
            <c:symbol val="none"/>
          </c:marker>
          <c:cat>
            <c:numRef>
              <c:f>'Largo Plazo'!$A$7:$A$95</c:f>
              <c:numCache>
                <c:formatCode>General</c:formatCode>
                <c:ptCount val="89"/>
                <c:pt idx="0">
                  <c:v>1936</c:v>
                </c:pt>
                <c:pt idx="1">
                  <c:v>1937</c:v>
                </c:pt>
                <c:pt idx="2">
                  <c:v>1938</c:v>
                </c:pt>
                <c:pt idx="3">
                  <c:v>1939</c:v>
                </c:pt>
                <c:pt idx="4">
                  <c:v>1940</c:v>
                </c:pt>
                <c:pt idx="5">
                  <c:v>1941</c:v>
                </c:pt>
                <c:pt idx="6">
                  <c:v>1942</c:v>
                </c:pt>
                <c:pt idx="7">
                  <c:v>1943</c:v>
                </c:pt>
                <c:pt idx="8">
                  <c:v>1944</c:v>
                </c:pt>
                <c:pt idx="9">
                  <c:v>1945</c:v>
                </c:pt>
                <c:pt idx="10">
                  <c:v>1946</c:v>
                </c:pt>
                <c:pt idx="11">
                  <c:v>1947</c:v>
                </c:pt>
                <c:pt idx="12">
                  <c:v>1948</c:v>
                </c:pt>
                <c:pt idx="13">
                  <c:v>1949</c:v>
                </c:pt>
                <c:pt idx="14">
                  <c:v>1950</c:v>
                </c:pt>
                <c:pt idx="15">
                  <c:v>1951</c:v>
                </c:pt>
                <c:pt idx="16">
                  <c:v>1952</c:v>
                </c:pt>
                <c:pt idx="17">
                  <c:v>1953</c:v>
                </c:pt>
                <c:pt idx="18">
                  <c:v>1954</c:v>
                </c:pt>
                <c:pt idx="19">
                  <c:v>1955</c:v>
                </c:pt>
                <c:pt idx="20">
                  <c:v>1956</c:v>
                </c:pt>
                <c:pt idx="21">
                  <c:v>1957</c:v>
                </c:pt>
                <c:pt idx="22">
                  <c:v>1958</c:v>
                </c:pt>
                <c:pt idx="23">
                  <c:v>1959</c:v>
                </c:pt>
                <c:pt idx="24">
                  <c:v>1960</c:v>
                </c:pt>
                <c:pt idx="25">
                  <c:v>1961</c:v>
                </c:pt>
                <c:pt idx="26">
                  <c:v>1962</c:v>
                </c:pt>
                <c:pt idx="27">
                  <c:v>1963</c:v>
                </c:pt>
                <c:pt idx="28">
                  <c:v>1964</c:v>
                </c:pt>
                <c:pt idx="29">
                  <c:v>1965</c:v>
                </c:pt>
                <c:pt idx="30">
                  <c:v>1966</c:v>
                </c:pt>
                <c:pt idx="31">
                  <c:v>1967</c:v>
                </c:pt>
                <c:pt idx="32">
                  <c:v>1968</c:v>
                </c:pt>
                <c:pt idx="33">
                  <c:v>1969</c:v>
                </c:pt>
                <c:pt idx="34">
                  <c:v>1970</c:v>
                </c:pt>
                <c:pt idx="35">
                  <c:v>1971</c:v>
                </c:pt>
                <c:pt idx="36">
                  <c:v>1972</c:v>
                </c:pt>
                <c:pt idx="37">
                  <c:v>1973</c:v>
                </c:pt>
                <c:pt idx="38">
                  <c:v>1974</c:v>
                </c:pt>
                <c:pt idx="39">
                  <c:v>1975</c:v>
                </c:pt>
                <c:pt idx="40">
                  <c:v>1976</c:v>
                </c:pt>
                <c:pt idx="41">
                  <c:v>1977</c:v>
                </c:pt>
                <c:pt idx="42">
                  <c:v>1978</c:v>
                </c:pt>
                <c:pt idx="43">
                  <c:v>1979</c:v>
                </c:pt>
                <c:pt idx="44">
                  <c:v>1980</c:v>
                </c:pt>
                <c:pt idx="45">
                  <c:v>1981</c:v>
                </c:pt>
                <c:pt idx="46">
                  <c:v>1982</c:v>
                </c:pt>
                <c:pt idx="47">
                  <c:v>1983</c:v>
                </c:pt>
                <c:pt idx="48">
                  <c:v>1984</c:v>
                </c:pt>
                <c:pt idx="49">
                  <c:v>1985</c:v>
                </c:pt>
                <c:pt idx="50">
                  <c:v>1986</c:v>
                </c:pt>
                <c:pt idx="51">
                  <c:v>1987</c:v>
                </c:pt>
                <c:pt idx="52">
                  <c:v>1988</c:v>
                </c:pt>
                <c:pt idx="53">
                  <c:v>1989</c:v>
                </c:pt>
                <c:pt idx="54">
                  <c:v>1990</c:v>
                </c:pt>
                <c:pt idx="55">
                  <c:v>1991</c:v>
                </c:pt>
                <c:pt idx="56">
                  <c:v>1992</c:v>
                </c:pt>
                <c:pt idx="57">
                  <c:v>1993</c:v>
                </c:pt>
                <c:pt idx="58">
                  <c:v>1994</c:v>
                </c:pt>
                <c:pt idx="59">
                  <c:v>1995</c:v>
                </c:pt>
                <c:pt idx="60">
                  <c:v>1996</c:v>
                </c:pt>
                <c:pt idx="61">
                  <c:v>1997</c:v>
                </c:pt>
                <c:pt idx="62">
                  <c:v>1998</c:v>
                </c:pt>
                <c:pt idx="63">
                  <c:v>1999</c:v>
                </c:pt>
                <c:pt idx="64">
                  <c:v>2000</c:v>
                </c:pt>
                <c:pt idx="65">
                  <c:v>2001</c:v>
                </c:pt>
                <c:pt idx="66">
                  <c:v>2002</c:v>
                </c:pt>
                <c:pt idx="67">
                  <c:v>2003</c:v>
                </c:pt>
                <c:pt idx="68">
                  <c:v>2004</c:v>
                </c:pt>
                <c:pt idx="69">
                  <c:v>2005</c:v>
                </c:pt>
                <c:pt idx="70">
                  <c:v>2006</c:v>
                </c:pt>
                <c:pt idx="71">
                  <c:v>2007</c:v>
                </c:pt>
                <c:pt idx="72">
                  <c:v>2008</c:v>
                </c:pt>
                <c:pt idx="73">
                  <c:v>2009</c:v>
                </c:pt>
                <c:pt idx="74">
                  <c:v>2010</c:v>
                </c:pt>
                <c:pt idx="75">
                  <c:v>2011</c:v>
                </c:pt>
                <c:pt idx="76">
                  <c:v>2012</c:v>
                </c:pt>
                <c:pt idx="77">
                  <c:v>2013</c:v>
                </c:pt>
                <c:pt idx="78">
                  <c:v>2014</c:v>
                </c:pt>
                <c:pt idx="79">
                  <c:v>2015</c:v>
                </c:pt>
                <c:pt idx="80">
                  <c:v>2016</c:v>
                </c:pt>
                <c:pt idx="81">
                  <c:v>2017</c:v>
                </c:pt>
                <c:pt idx="82">
                  <c:v>2018</c:v>
                </c:pt>
                <c:pt idx="83">
                  <c:v>2019</c:v>
                </c:pt>
                <c:pt idx="84">
                  <c:v>2020</c:v>
                </c:pt>
                <c:pt idx="85">
                  <c:v>2021</c:v>
                </c:pt>
                <c:pt idx="86">
                  <c:v>2022</c:v>
                </c:pt>
                <c:pt idx="87">
                  <c:v>2023</c:v>
                </c:pt>
                <c:pt idx="88">
                  <c:v>2024</c:v>
                </c:pt>
              </c:numCache>
            </c:numRef>
          </c:cat>
          <c:val>
            <c:numRef>
              <c:f>Corporaciones!$AF$7:$AF$95</c:f>
              <c:numCache>
                <c:formatCode>General</c:formatCode>
                <c:ptCount val="89"/>
                <c:pt idx="0">
                  <c:v>1.2806276753198202</c:v>
                </c:pt>
                <c:pt idx="1">
                  <c:v>1.2263436784267172</c:v>
                </c:pt>
                <c:pt idx="2">
                  <c:v>1.0996831426278626</c:v>
                </c:pt>
                <c:pt idx="3">
                  <c:v>1.1421306491229504</c:v>
                </c:pt>
                <c:pt idx="4">
                  <c:v>1.2207440408398196</c:v>
                </c:pt>
                <c:pt idx="5">
                  <c:v>1.2056853542257779</c:v>
                </c:pt>
                <c:pt idx="6">
                  <c:v>1.1002621348844976</c:v>
                </c:pt>
                <c:pt idx="7">
                  <c:v>1.0651284186106151</c:v>
                </c:pt>
                <c:pt idx="8">
                  <c:v>1.1391792020463938</c:v>
                </c:pt>
                <c:pt idx="9">
                  <c:v>1.2003341282395428</c:v>
                </c:pt>
                <c:pt idx="10">
                  <c:v>1.1117674407043399</c:v>
                </c:pt>
                <c:pt idx="11">
                  <c:v>1.1411585758196403</c:v>
                </c:pt>
                <c:pt idx="12">
                  <c:v>1.2499608205367088</c:v>
                </c:pt>
                <c:pt idx="13">
                  <c:v>1.7154378694960879</c:v>
                </c:pt>
                <c:pt idx="14">
                  <c:v>1.9278524893771567</c:v>
                </c:pt>
                <c:pt idx="15">
                  <c:v>1.8590955930884157</c:v>
                </c:pt>
                <c:pt idx="16">
                  <c:v>2.0770199908691405</c:v>
                </c:pt>
                <c:pt idx="17">
                  <c:v>2.6869385132691885</c:v>
                </c:pt>
                <c:pt idx="18">
                  <c:v>2.8374038052825572</c:v>
                </c:pt>
                <c:pt idx="19">
                  <c:v>2.4144955970228472</c:v>
                </c:pt>
                <c:pt idx="20">
                  <c:v>1.0237707751867353</c:v>
                </c:pt>
                <c:pt idx="21">
                  <c:v>1.2417261652669935</c:v>
                </c:pt>
                <c:pt idx="22">
                  <c:v>1.5953161940750318</c:v>
                </c:pt>
                <c:pt idx="23">
                  <c:v>0.78086039879699098</c:v>
                </c:pt>
                <c:pt idx="24">
                  <c:v>0.95325623672977444</c:v>
                </c:pt>
                <c:pt idx="25">
                  <c:v>1.0576251264199676</c:v>
                </c:pt>
                <c:pt idx="26">
                  <c:v>0.95875931047927021</c:v>
                </c:pt>
                <c:pt idx="27">
                  <c:v>0.97554313568911399</c:v>
                </c:pt>
                <c:pt idx="28">
                  <c:v>1.1302400497544502</c:v>
                </c:pt>
                <c:pt idx="29">
                  <c:v>1.1857824445604053</c:v>
                </c:pt>
                <c:pt idx="30">
                  <c:v>1.2140054306968902</c:v>
                </c:pt>
                <c:pt idx="31">
                  <c:v>0.93545422800096489</c:v>
                </c:pt>
                <c:pt idx="32">
                  <c:v>0.98835717063626216</c:v>
                </c:pt>
                <c:pt idx="33">
                  <c:v>0.93717010714875426</c:v>
                </c:pt>
                <c:pt idx="34">
                  <c:v>0.94084882982887452</c:v>
                </c:pt>
                <c:pt idx="35">
                  <c:v>1.0301863891392951</c:v>
                </c:pt>
                <c:pt idx="36">
                  <c:v>0.91191114211898672</c:v>
                </c:pt>
                <c:pt idx="37">
                  <c:v>1.2612487459419883</c:v>
                </c:pt>
                <c:pt idx="38">
                  <c:v>1.3473791744662746</c:v>
                </c:pt>
                <c:pt idx="39">
                  <c:v>1.2460131946869089</c:v>
                </c:pt>
                <c:pt idx="40">
                  <c:v>0.92315565426442114</c:v>
                </c:pt>
                <c:pt idx="41">
                  <c:v>1.0630171325632474</c:v>
                </c:pt>
                <c:pt idx="42">
                  <c:v>1.4949180863795319</c:v>
                </c:pt>
                <c:pt idx="43">
                  <c:v>1.9676385541541346</c:v>
                </c:pt>
                <c:pt idx="44">
                  <c:v>2.4960946997539155</c:v>
                </c:pt>
                <c:pt idx="45">
                  <c:v>2.0675597507200156</c:v>
                </c:pt>
                <c:pt idx="46">
                  <c:v>1.1010464058723433</c:v>
                </c:pt>
                <c:pt idx="47">
                  <c:v>0.95646909562872984</c:v>
                </c:pt>
                <c:pt idx="48">
                  <c:v>1.0709083980860596</c:v>
                </c:pt>
                <c:pt idx="49">
                  <c:v>0.99309911259121253</c:v>
                </c:pt>
                <c:pt idx="50">
                  <c:v>1.1649541625426845</c:v>
                </c:pt>
                <c:pt idx="51">
                  <c:v>1.1712792438929922</c:v>
                </c:pt>
                <c:pt idx="52">
                  <c:v>1.2923328341011058</c:v>
                </c:pt>
                <c:pt idx="53">
                  <c:v>0.9371620986763235</c:v>
                </c:pt>
                <c:pt idx="54">
                  <c:v>1.9177164492488057</c:v>
                </c:pt>
                <c:pt idx="55">
                  <c:v>2.2684965672820172</c:v>
                </c:pt>
                <c:pt idx="56">
                  <c:v>2.5081487975854051</c:v>
                </c:pt>
                <c:pt idx="57">
                  <c:v>2.5682340822237397</c:v>
                </c:pt>
                <c:pt idx="58">
                  <c:v>2.2869115046658033</c:v>
                </c:pt>
                <c:pt idx="59">
                  <c:v>2.513293824227623</c:v>
                </c:pt>
                <c:pt idx="60">
                  <c:v>2.3146987324616841</c:v>
                </c:pt>
                <c:pt idx="61">
                  <c:v>2.1819445160129196</c:v>
                </c:pt>
                <c:pt idx="62">
                  <c:v>2.1436649132289647</c:v>
                </c:pt>
                <c:pt idx="63">
                  <c:v>2.2129581574197137</c:v>
                </c:pt>
                <c:pt idx="64">
                  <c:v>2.0096586820662767</c:v>
                </c:pt>
                <c:pt idx="65">
                  <c:v>1.9531154920265132</c:v>
                </c:pt>
                <c:pt idx="66">
                  <c:v>0.65350128675474761</c:v>
                </c:pt>
                <c:pt idx="67">
                  <c:v>0.76992001740265015</c:v>
                </c:pt>
                <c:pt idx="68">
                  <c:v>0.742238189558172</c:v>
                </c:pt>
                <c:pt idx="69">
                  <c:v>0.80160863121398063</c:v>
                </c:pt>
                <c:pt idx="70">
                  <c:v>0.81744014506321017</c:v>
                </c:pt>
                <c:pt idx="71">
                  <c:v>0.86766371297310418</c:v>
                </c:pt>
                <c:pt idx="72">
                  <c:v>1.0471746757333114</c:v>
                </c:pt>
                <c:pt idx="73">
                  <c:v>1.1332933910885297</c:v>
                </c:pt>
                <c:pt idx="74">
                  <c:v>1.3148749969968745</c:v>
                </c:pt>
                <c:pt idx="75">
                  <c:v>1.4574116766232132</c:v>
                </c:pt>
                <c:pt idx="76">
                  <c:v>1.6278839697617116</c:v>
                </c:pt>
                <c:pt idx="77">
                  <c:v>1.7036346788722423</c:v>
                </c:pt>
                <c:pt idx="78">
                  <c:v>1.6036786765940911</c:v>
                </c:pt>
                <c:pt idx="79">
                  <c:v>1.7274943601490411</c:v>
                </c:pt>
                <c:pt idx="80">
                  <c:v>1.6229146429693309</c:v>
                </c:pt>
                <c:pt idx="81">
                  <c:v>1.7666898442590313</c:v>
                </c:pt>
                <c:pt idx="82">
                  <c:v>1.2964696700181988</c:v>
                </c:pt>
                <c:pt idx="83">
                  <c:v>1.139879099453214</c:v>
                </c:pt>
                <c:pt idx="84">
                  <c:v>1.3294490028032013</c:v>
                </c:pt>
                <c:pt idx="85">
                  <c:v>1.4459597536175353</c:v>
                </c:pt>
                <c:pt idx="86">
                  <c:v>1.7072970885111438</c:v>
                </c:pt>
                <c:pt idx="87">
                  <c:v>2.0596420371320883</c:v>
                </c:pt>
                <c:pt idx="88">
                  <c:v>2.0138494390316763</c:v>
                </c:pt>
              </c:numCache>
            </c:numRef>
          </c:val>
        </c:ser>
        <c:marker val="1"/>
        <c:axId val="88197376"/>
        <c:axId val="88207360"/>
      </c:lineChart>
      <c:catAx>
        <c:axId val="88197376"/>
        <c:scaling>
          <c:orientation val="minMax"/>
        </c:scaling>
        <c:axPos val="b"/>
        <c:numFmt formatCode="General" sourceLinked="1"/>
        <c:majorTickMark val="none"/>
        <c:tickLblPos val="nextTo"/>
        <c:crossAx val="88207360"/>
        <c:crosses val="autoZero"/>
        <c:auto val="1"/>
        <c:lblAlgn val="ctr"/>
        <c:lblOffset val="100"/>
      </c:catAx>
      <c:valAx>
        <c:axId val="88207360"/>
        <c:scaling>
          <c:orientation val="minMax"/>
          <c:max val="3"/>
          <c:min val="0.5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88197376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518160</xdr:colOff>
      <xdr:row>46</xdr:row>
      <xdr:rowOff>111760</xdr:rowOff>
    </xdr:from>
    <xdr:to>
      <xdr:col>16</xdr:col>
      <xdr:colOff>30480</xdr:colOff>
      <xdr:row>65</xdr:row>
      <xdr:rowOff>111760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274320</xdr:colOff>
      <xdr:row>46</xdr:row>
      <xdr:rowOff>132080</xdr:rowOff>
    </xdr:from>
    <xdr:to>
      <xdr:col>26</xdr:col>
      <xdr:colOff>457200</xdr:colOff>
      <xdr:row>66</xdr:row>
      <xdr:rowOff>30480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68</xdr:row>
      <xdr:rowOff>0</xdr:rowOff>
    </xdr:from>
    <xdr:to>
      <xdr:col>21</xdr:col>
      <xdr:colOff>203200</xdr:colOff>
      <xdr:row>87</xdr:row>
      <xdr:rowOff>0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609600</xdr:colOff>
      <xdr:row>105</xdr:row>
      <xdr:rowOff>91440</xdr:rowOff>
    </xdr:from>
    <xdr:to>
      <xdr:col>25</xdr:col>
      <xdr:colOff>142240</xdr:colOff>
      <xdr:row>125</xdr:row>
      <xdr:rowOff>71120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254000</xdr:colOff>
      <xdr:row>101</xdr:row>
      <xdr:rowOff>30480</xdr:rowOff>
    </xdr:from>
    <xdr:to>
      <xdr:col>32</xdr:col>
      <xdr:colOff>254000</xdr:colOff>
      <xdr:row>121</xdr:row>
      <xdr:rowOff>20320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zoomScale="75" zoomScaleNormal="75" workbookViewId="0">
      <pane xSplit="1" ySplit="4" topLeftCell="H6" activePane="bottomRight" state="frozen"/>
      <selection pane="topRight" activeCell="B1" sqref="B1"/>
      <selection pane="bottomLeft" activeCell="A5" sqref="A5"/>
      <selection pane="bottomRight" activeCell="F7" sqref="F7"/>
    </sheetView>
  </sheetViews>
  <sheetFormatPr baseColWidth="10" defaultRowHeight="14.4"/>
  <cols>
    <col min="3" max="3" width="18.6640625" customWidth="1"/>
    <col min="14" max="14" width="9.21875" customWidth="1"/>
    <col min="15" max="15" width="12.88671875" customWidth="1"/>
    <col min="16" max="16" width="14.5546875" customWidth="1"/>
    <col min="17" max="17" width="10.21875" customWidth="1"/>
    <col min="18" max="18" width="15.5546875" customWidth="1"/>
    <col min="19" max="19" width="11.109375" customWidth="1"/>
    <col min="20" max="20" width="14.109375" customWidth="1"/>
    <col min="21" max="21" width="8.21875" customWidth="1"/>
    <col min="22" max="22" width="14.21875" customWidth="1"/>
  </cols>
  <sheetData>
    <row r="1" spans="1:22" s="3" customFormat="1">
      <c r="B1" s="38" t="s">
        <v>10</v>
      </c>
      <c r="C1" s="39"/>
      <c r="D1" s="40"/>
      <c r="G1" s="38" t="s">
        <v>11</v>
      </c>
      <c r="H1" s="39"/>
      <c r="I1" s="39"/>
      <c r="J1" s="39"/>
      <c r="K1" s="39"/>
      <c r="L1" s="39"/>
      <c r="M1" s="40"/>
      <c r="N1" s="13"/>
      <c r="O1" s="38" t="s">
        <v>11</v>
      </c>
      <c r="P1" s="39"/>
      <c r="Q1" s="39"/>
      <c r="R1" s="39"/>
      <c r="S1" s="39"/>
      <c r="T1" s="39"/>
      <c r="U1" s="39"/>
      <c r="V1" s="40"/>
    </row>
    <row r="2" spans="1:22" s="3" customFormat="1">
      <c r="B2" s="4"/>
      <c r="C2" s="5"/>
      <c r="D2" s="6"/>
      <c r="E2" s="3" t="s">
        <v>21</v>
      </c>
      <c r="H2" s="3" t="s">
        <v>7</v>
      </c>
      <c r="L2" s="3" t="s">
        <v>8</v>
      </c>
      <c r="M2" s="3" t="s">
        <v>8</v>
      </c>
      <c r="O2" s="37" t="s">
        <v>17</v>
      </c>
      <c r="P2" s="37"/>
      <c r="Q2" s="37" t="s">
        <v>20</v>
      </c>
      <c r="R2" s="37"/>
      <c r="S2" s="37" t="s">
        <v>20</v>
      </c>
      <c r="T2" s="37"/>
      <c r="U2" s="37" t="s">
        <v>3</v>
      </c>
      <c r="V2" s="37"/>
    </row>
    <row r="3" spans="1:22" s="3" customFormat="1">
      <c r="B3" s="4" t="s">
        <v>0</v>
      </c>
      <c r="C3" s="5" t="s">
        <v>1</v>
      </c>
      <c r="D3" s="6" t="s">
        <v>2</v>
      </c>
      <c r="G3" s="3" t="s">
        <v>0</v>
      </c>
      <c r="H3" s="3" t="s">
        <v>3</v>
      </c>
      <c r="I3" s="3" t="s">
        <v>5</v>
      </c>
      <c r="J3" s="3" t="s">
        <v>16</v>
      </c>
      <c r="K3" s="3" t="s">
        <v>16</v>
      </c>
      <c r="L3" s="3" t="s">
        <v>3</v>
      </c>
      <c r="M3" s="3" t="s">
        <v>9</v>
      </c>
      <c r="O3" s="3" t="s">
        <v>18</v>
      </c>
      <c r="P3" s="3" t="s">
        <v>19</v>
      </c>
      <c r="Q3" s="3" t="s">
        <v>18</v>
      </c>
      <c r="R3" s="3" t="s">
        <v>19</v>
      </c>
      <c r="S3" s="3" t="s">
        <v>18</v>
      </c>
      <c r="T3" s="3" t="s">
        <v>19</v>
      </c>
      <c r="U3" s="3" t="s">
        <v>18</v>
      </c>
      <c r="V3" s="3" t="s">
        <v>19</v>
      </c>
    </row>
    <row r="4" spans="1:22" s="3" customFormat="1">
      <c r="B4" s="4"/>
      <c r="C4" s="5"/>
      <c r="D4" s="6"/>
      <c r="H4" s="3" t="s">
        <v>4</v>
      </c>
      <c r="I4" s="3" t="s">
        <v>6</v>
      </c>
      <c r="J4" s="3" t="s">
        <v>22</v>
      </c>
      <c r="K4" s="3" t="s">
        <v>23</v>
      </c>
      <c r="Q4" s="36" t="s">
        <v>24</v>
      </c>
      <c r="R4" s="36"/>
      <c r="S4" s="36" t="s">
        <v>25</v>
      </c>
      <c r="T4" s="36"/>
    </row>
    <row r="5" spans="1:22">
      <c r="A5">
        <v>1990</v>
      </c>
      <c r="B5" s="7"/>
      <c r="C5" s="8"/>
      <c r="D5" s="9"/>
      <c r="F5" s="17"/>
      <c r="H5">
        <v>0.16858591685018604</v>
      </c>
      <c r="L5">
        <v>0.90450000000000008</v>
      </c>
      <c r="M5">
        <v>73.922909896646118</v>
      </c>
    </row>
    <row r="6" spans="1:22">
      <c r="A6" s="1">
        <v>1991</v>
      </c>
      <c r="B6" s="7">
        <v>0.95</v>
      </c>
      <c r="C6" s="8">
        <v>1.69</v>
      </c>
      <c r="D6" s="9">
        <v>1.59</v>
      </c>
      <c r="E6" s="14">
        <v>0.64700000000000002</v>
      </c>
      <c r="F6" s="17"/>
      <c r="G6">
        <v>0.95</v>
      </c>
      <c r="H6">
        <v>0.45800022532925971</v>
      </c>
      <c r="I6" s="14">
        <f>I7*E6/E7</f>
        <v>59.329216231495479</v>
      </c>
      <c r="J6" s="14">
        <f>J7*I6/I7</f>
        <v>69.660712982802394</v>
      </c>
      <c r="K6" s="14">
        <f>K7*I6/I7</f>
        <v>65.842411870108705</v>
      </c>
      <c r="L6">
        <v>0.9426000000000001</v>
      </c>
      <c r="M6">
        <v>75.612484197945889</v>
      </c>
      <c r="O6">
        <f>C6</f>
        <v>1.69</v>
      </c>
      <c r="P6">
        <f t="shared" ref="P6:P39" si="0">O6/G6</f>
        <v>1.7789473684210526</v>
      </c>
      <c r="Q6">
        <f>C6</f>
        <v>1.69</v>
      </c>
      <c r="R6">
        <f t="shared" ref="R6:R39" si="1">Q6/G6</f>
        <v>1.7789473684210526</v>
      </c>
      <c r="S6">
        <f>C6</f>
        <v>1.69</v>
      </c>
      <c r="T6">
        <f>S6/G6</f>
        <v>1.7789473684210526</v>
      </c>
      <c r="U6">
        <f>D6</f>
        <v>1.59</v>
      </c>
      <c r="V6">
        <f t="shared" ref="V6:V39" si="2">U6/G6</f>
        <v>1.6736842105263159</v>
      </c>
    </row>
    <row r="7" spans="1:22">
      <c r="A7" s="1">
        <v>1992</v>
      </c>
      <c r="B7" s="7">
        <v>0.99</v>
      </c>
      <c r="C7" s="8">
        <v>1.9</v>
      </c>
      <c r="D7" s="9">
        <v>1.93</v>
      </c>
      <c r="E7" s="14">
        <v>0.73699999999999999</v>
      </c>
      <c r="F7" s="17"/>
      <c r="G7">
        <v>0.99</v>
      </c>
      <c r="H7">
        <v>0.57204205293199928</v>
      </c>
      <c r="I7" s="14">
        <f>I8*E7/E8</f>
        <v>67.582121116865792</v>
      </c>
      <c r="J7" s="14">
        <f>J8*I7/I8</f>
        <v>79.350765793393137</v>
      </c>
      <c r="K7" s="14">
        <f>K8*I7/I8</f>
        <v>75.001325422364943</v>
      </c>
      <c r="L7">
        <v>0.97089999999999999</v>
      </c>
      <c r="M7">
        <v>79.605042850216691</v>
      </c>
      <c r="O7" s="2">
        <f t="shared" ref="O7:O39" si="3">O6*((H7/H6)/(L7/L6))*((M7/M6)/(I7/I6))</f>
        <v>1.8940252757383575</v>
      </c>
      <c r="P7">
        <f t="shared" si="0"/>
        <v>1.9131568441801592</v>
      </c>
      <c r="Q7">
        <f t="shared" ref="Q7:Q39" si="4">Q6*((H7/H6)/(L7/L6))*((M7/M6)/(J7/J6))</f>
        <v>1.8940252757383575</v>
      </c>
      <c r="R7">
        <f t="shared" si="1"/>
        <v>1.9131568441801592</v>
      </c>
      <c r="S7">
        <f>S6*((H7/H6)/(L7/L6))*((M7/M6)/(K7/K6))</f>
        <v>1.8940252757383575</v>
      </c>
      <c r="T7">
        <f t="shared" ref="T7:T45" si="5">S7/G7</f>
        <v>1.9131568441801592</v>
      </c>
      <c r="U7" s="2">
        <f t="shared" ref="U7:U39" si="6">U6*(H7/H6)/(L7/L6)</f>
        <v>1.9280235021687568</v>
      </c>
      <c r="V7">
        <f t="shared" si="2"/>
        <v>1.9474984870391483</v>
      </c>
    </row>
    <row r="8" spans="1:22">
      <c r="A8" s="1">
        <v>1993</v>
      </c>
      <c r="B8" s="7">
        <v>0.99</v>
      </c>
      <c r="C8" s="8">
        <v>1.97</v>
      </c>
      <c r="D8" s="9">
        <v>2.0699999999999998</v>
      </c>
      <c r="E8" s="14">
        <v>0.78500000000000003</v>
      </c>
      <c r="F8" s="17"/>
      <c r="G8">
        <v>0.99</v>
      </c>
      <c r="H8">
        <v>0.63274436940445666</v>
      </c>
      <c r="I8">
        <v>71.983670389063292</v>
      </c>
      <c r="J8">
        <v>84.518793959041545</v>
      </c>
      <c r="K8">
        <v>79.886079316901601</v>
      </c>
      <c r="L8">
        <v>1</v>
      </c>
      <c r="M8">
        <v>82.204164182485997</v>
      </c>
      <c r="O8" s="2">
        <f t="shared" si="3"/>
        <v>1.9720216233832324</v>
      </c>
      <c r="P8">
        <f t="shared" si="0"/>
        <v>1.9919410337204368</v>
      </c>
      <c r="Q8">
        <f t="shared" si="4"/>
        <v>1.9720216233832319</v>
      </c>
      <c r="R8">
        <f t="shared" si="1"/>
        <v>1.9919410337204364</v>
      </c>
      <c r="S8">
        <f t="shared" ref="S8:S45" si="7">S7*((H8/H7)/(L8/L7))*((M8/M7)/(K8/K7))</f>
        <v>1.9720216233832324</v>
      </c>
      <c r="T8">
        <f t="shared" si="5"/>
        <v>1.9919410337204368</v>
      </c>
      <c r="U8" s="2">
        <f t="shared" si="6"/>
        <v>2.0705568409999544</v>
      </c>
      <c r="V8">
        <f t="shared" si="2"/>
        <v>2.0914715565656103</v>
      </c>
    </row>
    <row r="9" spans="1:22">
      <c r="A9" s="1">
        <v>1994</v>
      </c>
      <c r="B9" s="7">
        <v>1</v>
      </c>
      <c r="C9" s="8">
        <v>1.98</v>
      </c>
      <c r="D9" s="9">
        <v>2.1</v>
      </c>
      <c r="G9">
        <v>1</v>
      </c>
      <c r="H9">
        <v>0.65917623792779523</v>
      </c>
      <c r="I9">
        <v>82.547502673017036</v>
      </c>
      <c r="J9">
        <v>99.065710366474747</v>
      </c>
      <c r="K9">
        <v>91.674682237038823</v>
      </c>
      <c r="L9">
        <v>1.026</v>
      </c>
      <c r="M9">
        <v>85.320435228066657</v>
      </c>
      <c r="O9" s="2">
        <f t="shared" si="3"/>
        <v>1.812286513626661</v>
      </c>
      <c r="P9">
        <f t="shared" si="0"/>
        <v>1.812286513626661</v>
      </c>
      <c r="Q9">
        <f t="shared" si="4"/>
        <v>1.7730735188309783</v>
      </c>
      <c r="R9">
        <f t="shared" si="1"/>
        <v>1.7730735188309783</v>
      </c>
      <c r="S9">
        <f t="shared" si="7"/>
        <v>1.8110002251161339</v>
      </c>
      <c r="T9">
        <f t="shared" si="5"/>
        <v>1.8110002251161339</v>
      </c>
      <c r="U9" s="2">
        <f t="shared" si="6"/>
        <v>2.1023888797972661</v>
      </c>
      <c r="V9">
        <f t="shared" si="2"/>
        <v>2.1023888797972661</v>
      </c>
    </row>
    <row r="10" spans="1:22">
      <c r="A10" s="1">
        <v>1995</v>
      </c>
      <c r="B10" s="7">
        <v>0.99</v>
      </c>
      <c r="C10" s="8">
        <v>2.0699999999999998</v>
      </c>
      <c r="D10" s="9">
        <v>2.11</v>
      </c>
      <c r="G10">
        <v>0.99</v>
      </c>
      <c r="H10">
        <v>0.68143067731108498</v>
      </c>
      <c r="I10">
        <v>84.240539046493637</v>
      </c>
      <c r="J10">
        <v>94.003400703282182</v>
      </c>
      <c r="K10">
        <v>86.088606602617219</v>
      </c>
      <c r="L10">
        <v>1.0549999999999999</v>
      </c>
      <c r="M10">
        <v>88.411072060520397</v>
      </c>
      <c r="O10" s="2">
        <f t="shared" si="3"/>
        <v>1.8500279677083229</v>
      </c>
      <c r="P10">
        <f t="shared" si="0"/>
        <v>1.8687151188972959</v>
      </c>
      <c r="Q10">
        <f t="shared" si="4"/>
        <v>1.9465930570483359</v>
      </c>
      <c r="R10">
        <f t="shared" si="1"/>
        <v>1.9662556131801372</v>
      </c>
      <c r="S10">
        <f t="shared" si="7"/>
        <v>2.0090505882905303</v>
      </c>
      <c r="T10">
        <f t="shared" si="5"/>
        <v>2.0293440285762934</v>
      </c>
      <c r="U10" s="2">
        <f t="shared" si="6"/>
        <v>2.1136257419918323</v>
      </c>
      <c r="V10">
        <f t="shared" si="2"/>
        <v>2.134975496961447</v>
      </c>
    </row>
    <row r="11" spans="1:22">
      <c r="A11" s="1">
        <v>1996</v>
      </c>
      <c r="B11" s="7">
        <v>1</v>
      </c>
      <c r="C11" s="8">
        <v>1.89</v>
      </c>
      <c r="D11" s="9">
        <v>2.06</v>
      </c>
      <c r="G11">
        <v>1</v>
      </c>
      <c r="H11">
        <v>0.68249151372334571</v>
      </c>
      <c r="I11">
        <v>94.110664239656217</v>
      </c>
      <c r="J11">
        <v>98.592738960179318</v>
      </c>
      <c r="K11">
        <v>93.064174158673936</v>
      </c>
      <c r="L11">
        <v>1.0859999999999999</v>
      </c>
      <c r="M11">
        <v>93.284375069085243</v>
      </c>
      <c r="O11" s="2">
        <f t="shared" si="3"/>
        <v>1.7000474801981353</v>
      </c>
      <c r="P11">
        <f t="shared" si="0"/>
        <v>1.7000474801981353</v>
      </c>
      <c r="Q11">
        <f t="shared" si="4"/>
        <v>1.9053477957357963</v>
      </c>
      <c r="R11">
        <f t="shared" si="1"/>
        <v>1.9053477957357963</v>
      </c>
      <c r="S11">
        <f t="shared" si="7"/>
        <v>1.9078950521472093</v>
      </c>
      <c r="T11">
        <f t="shared" si="5"/>
        <v>1.9078950521472093</v>
      </c>
      <c r="U11" s="2">
        <f t="shared" si="6"/>
        <v>2.0564885624307663</v>
      </c>
      <c r="V11">
        <f t="shared" si="2"/>
        <v>2.0564885624307663</v>
      </c>
    </row>
    <row r="12" spans="1:22">
      <c r="A12" s="1">
        <v>1997</v>
      </c>
      <c r="B12" s="7">
        <v>1</v>
      </c>
      <c r="C12" s="8">
        <v>1.79</v>
      </c>
      <c r="D12" s="9">
        <v>2.02</v>
      </c>
      <c r="G12">
        <v>1</v>
      </c>
      <c r="H12">
        <v>0.68609908018984989</v>
      </c>
      <c r="I12">
        <v>100</v>
      </c>
      <c r="J12">
        <v>100</v>
      </c>
      <c r="K12">
        <v>100</v>
      </c>
      <c r="L12">
        <v>1.111</v>
      </c>
      <c r="M12">
        <v>100</v>
      </c>
      <c r="O12" s="2">
        <f t="shared" si="3"/>
        <v>1.685374159314438</v>
      </c>
      <c r="P12">
        <f t="shared" si="0"/>
        <v>1.685374159314438</v>
      </c>
      <c r="Q12">
        <f t="shared" si="4"/>
        <v>1.9788625745962525</v>
      </c>
      <c r="R12">
        <f t="shared" si="1"/>
        <v>1.9788625745962525</v>
      </c>
      <c r="S12">
        <f t="shared" si="7"/>
        <v>1.8703955083416464</v>
      </c>
      <c r="T12">
        <f t="shared" si="5"/>
        <v>1.8703955083416464</v>
      </c>
      <c r="U12" s="2">
        <f t="shared" si="6"/>
        <v>2.0208386813698409</v>
      </c>
      <c r="V12">
        <f t="shared" si="2"/>
        <v>2.0208386813698409</v>
      </c>
    </row>
    <row r="13" spans="1:22">
      <c r="A13" s="1">
        <v>1998</v>
      </c>
      <c r="B13" s="7">
        <v>1</v>
      </c>
      <c r="C13" s="8">
        <v>1.8</v>
      </c>
      <c r="D13" s="9">
        <v>2.0099999999999998</v>
      </c>
      <c r="G13">
        <v>1</v>
      </c>
      <c r="H13">
        <v>0.69244320061850628</v>
      </c>
      <c r="I13">
        <v>97.080398470140864</v>
      </c>
      <c r="J13">
        <v>105.40486125989436</v>
      </c>
      <c r="K13">
        <v>104.37148026715033</v>
      </c>
      <c r="L13">
        <v>1.1279999999999999</v>
      </c>
      <c r="M13">
        <v>106.27677064028653</v>
      </c>
      <c r="O13" s="2">
        <f t="shared" si="3"/>
        <v>1.8340256585881971</v>
      </c>
      <c r="P13">
        <f t="shared" si="0"/>
        <v>1.8340256585881971</v>
      </c>
      <c r="Q13">
        <f t="shared" si="4"/>
        <v>1.9833329206247536</v>
      </c>
      <c r="R13">
        <f t="shared" si="1"/>
        <v>1.9833329206247536</v>
      </c>
      <c r="S13">
        <f t="shared" si="7"/>
        <v>1.8931814242327205</v>
      </c>
      <c r="T13">
        <f t="shared" si="5"/>
        <v>1.8931814242327205</v>
      </c>
      <c r="U13" s="2">
        <f t="shared" si="6"/>
        <v>2.0087871590547901</v>
      </c>
      <c r="V13">
        <f t="shared" si="2"/>
        <v>2.0087871590547901</v>
      </c>
    </row>
    <row r="14" spans="1:22">
      <c r="A14" s="1">
        <v>1999</v>
      </c>
      <c r="B14" s="7">
        <v>1</v>
      </c>
      <c r="C14" s="8">
        <v>1.85</v>
      </c>
      <c r="D14" s="9">
        <v>1.94</v>
      </c>
      <c r="G14">
        <v>1</v>
      </c>
      <c r="H14">
        <v>0.68436462539129039</v>
      </c>
      <c r="I14">
        <v>94.596913687041834</v>
      </c>
      <c r="J14">
        <v>96.727278669051628</v>
      </c>
      <c r="K14">
        <v>100.86458114899635</v>
      </c>
      <c r="L14">
        <v>1.153</v>
      </c>
      <c r="M14">
        <v>113.60722741545027</v>
      </c>
      <c r="O14" s="2">
        <f t="shared" si="3"/>
        <v>1.9454084233794759</v>
      </c>
      <c r="P14">
        <f t="shared" si="0"/>
        <v>1.9454084233794759</v>
      </c>
      <c r="Q14">
        <f t="shared" si="4"/>
        <v>2.2338710193157207</v>
      </c>
      <c r="R14">
        <f t="shared" si="1"/>
        <v>2.2338710193157207</v>
      </c>
      <c r="S14">
        <f t="shared" si="7"/>
        <v>2.0248189185776195</v>
      </c>
      <c r="T14">
        <f t="shared" si="5"/>
        <v>2.0248189185776195</v>
      </c>
      <c r="U14" s="2">
        <f t="shared" si="6"/>
        <v>1.9423035935336923</v>
      </c>
      <c r="V14">
        <f t="shared" si="2"/>
        <v>1.9423035935336923</v>
      </c>
    </row>
    <row r="15" spans="1:22">
      <c r="A15" s="1">
        <v>2000</v>
      </c>
      <c r="B15" s="7">
        <v>1</v>
      </c>
      <c r="C15" s="8">
        <v>1.74</v>
      </c>
      <c r="D15" s="9">
        <v>1.86</v>
      </c>
      <c r="G15">
        <v>1</v>
      </c>
      <c r="H15">
        <v>0.6779377065296085</v>
      </c>
      <c r="I15">
        <v>94.144539820968248</v>
      </c>
      <c r="J15">
        <v>105.26128319993266</v>
      </c>
      <c r="K15">
        <v>109.7636094724962</v>
      </c>
      <c r="L15">
        <v>1.1919999999999999</v>
      </c>
      <c r="M15">
        <v>119.46064002969261</v>
      </c>
      <c r="O15" s="2">
        <f t="shared" si="3"/>
        <v>1.969548988287749</v>
      </c>
      <c r="P15">
        <f t="shared" si="0"/>
        <v>1.969548988287749</v>
      </c>
      <c r="Q15">
        <f t="shared" si="4"/>
        <v>2.0682954110826883</v>
      </c>
      <c r="R15">
        <f t="shared" si="1"/>
        <v>2.0682954110826883</v>
      </c>
      <c r="S15">
        <f t="shared" si="7"/>
        <v>1.8747383538958065</v>
      </c>
      <c r="T15">
        <f t="shared" si="5"/>
        <v>1.8747383538958065</v>
      </c>
      <c r="U15" s="2">
        <f t="shared" si="6"/>
        <v>1.8611115419708282</v>
      </c>
      <c r="V15">
        <f t="shared" si="2"/>
        <v>1.8611115419708282</v>
      </c>
    </row>
    <row r="16" spans="1:22">
      <c r="A16" s="1">
        <v>2001</v>
      </c>
      <c r="B16" s="7">
        <v>1</v>
      </c>
      <c r="C16" s="8">
        <v>1.79</v>
      </c>
      <c r="D16" s="9">
        <v>1.79</v>
      </c>
      <c r="G16">
        <v>1</v>
      </c>
      <c r="H16">
        <v>0.67071425702770793</v>
      </c>
      <c r="I16">
        <v>88.34900237623043</v>
      </c>
      <c r="J16">
        <v>105.2428651996514</v>
      </c>
      <c r="K16">
        <v>108.94100394751618</v>
      </c>
      <c r="L16">
        <v>1.226</v>
      </c>
      <c r="M16">
        <v>122.78975690663896</v>
      </c>
      <c r="O16" s="2">
        <f t="shared" si="3"/>
        <v>2.07506215718321</v>
      </c>
      <c r="P16">
        <f t="shared" si="0"/>
        <v>2.07506215718321</v>
      </c>
      <c r="Q16">
        <f t="shared" si="4"/>
        <v>2.045311221569182</v>
      </c>
      <c r="R16">
        <f t="shared" si="1"/>
        <v>2.045311221569182</v>
      </c>
      <c r="S16">
        <f t="shared" si="7"/>
        <v>1.8675769576627701</v>
      </c>
      <c r="T16">
        <f t="shared" si="5"/>
        <v>1.8675769576627701</v>
      </c>
      <c r="U16" s="2">
        <f t="shared" si="6"/>
        <v>1.7902180676639496</v>
      </c>
      <c r="V16">
        <f t="shared" si="2"/>
        <v>1.7902180676639496</v>
      </c>
    </row>
    <row r="17" spans="1:22">
      <c r="A17" s="1">
        <v>2002</v>
      </c>
      <c r="B17" s="7">
        <v>3.14</v>
      </c>
      <c r="C17" s="8">
        <v>2.4</v>
      </c>
      <c r="D17" s="9">
        <v>2.2200000000000002</v>
      </c>
      <c r="G17">
        <v>3.14</v>
      </c>
      <c r="H17">
        <v>0.84421828458090353</v>
      </c>
      <c r="I17">
        <v>79.988316920617635</v>
      </c>
      <c r="J17">
        <v>131.53270412942186</v>
      </c>
      <c r="K17">
        <v>133.80528813706582</v>
      </c>
      <c r="L17">
        <v>1.2450000000000001</v>
      </c>
      <c r="M17">
        <v>134.07298924281122</v>
      </c>
      <c r="O17" s="2">
        <f t="shared" si="3"/>
        <v>3.101870690383393</v>
      </c>
      <c r="P17">
        <f t="shared" si="0"/>
        <v>0.9878569077654118</v>
      </c>
      <c r="Q17">
        <f t="shared" si="4"/>
        <v>2.2148065701200448</v>
      </c>
      <c r="R17">
        <f t="shared" si="1"/>
        <v>0.70535241086625622</v>
      </c>
      <c r="S17">
        <f t="shared" si="7"/>
        <v>2.0578517771136671</v>
      </c>
      <c r="T17">
        <f t="shared" si="5"/>
        <v>0.65536680799798308</v>
      </c>
      <c r="U17" s="2">
        <f t="shared" si="6"/>
        <v>2.2189334175737856</v>
      </c>
      <c r="V17">
        <f t="shared" si="2"/>
        <v>0.70666669349483613</v>
      </c>
    </row>
    <row r="18" spans="1:22">
      <c r="A18" s="1">
        <v>2003</v>
      </c>
      <c r="B18" s="7">
        <v>2.93</v>
      </c>
      <c r="C18" s="8">
        <v>2.5299999999999998</v>
      </c>
      <c r="D18" s="9">
        <v>2.46</v>
      </c>
      <c r="G18">
        <v>2.93</v>
      </c>
      <c r="H18">
        <v>0.95770775932323515</v>
      </c>
      <c r="I18">
        <v>82.662494219230865</v>
      </c>
      <c r="J18">
        <v>128.76090466741559</v>
      </c>
      <c r="K18">
        <v>140.48616211457448</v>
      </c>
      <c r="L18">
        <v>1.2729999999999999</v>
      </c>
      <c r="M18">
        <v>143.95953042499033</v>
      </c>
      <c r="O18" s="2">
        <f t="shared" si="3"/>
        <v>3.5756917395514152</v>
      </c>
      <c r="P18">
        <f t="shared" si="0"/>
        <v>1.2203726073554317</v>
      </c>
      <c r="Q18">
        <f t="shared" si="4"/>
        <v>2.6952798296983369</v>
      </c>
      <c r="R18">
        <f t="shared" si="1"/>
        <v>0.91989072685950057</v>
      </c>
      <c r="S18">
        <f t="shared" si="7"/>
        <v>2.33492076884417</v>
      </c>
      <c r="T18">
        <f t="shared" si="5"/>
        <v>0.7969012862949385</v>
      </c>
      <c r="U18" s="2">
        <f t="shared" si="6"/>
        <v>2.4618606715752831</v>
      </c>
      <c r="V18">
        <f t="shared" si="2"/>
        <v>0.84022548517927742</v>
      </c>
    </row>
    <row r="19" spans="1:22">
      <c r="A19" s="1">
        <v>2004</v>
      </c>
      <c r="B19" s="10">
        <v>2.93</v>
      </c>
      <c r="C19" s="11">
        <v>2.64</v>
      </c>
      <c r="D19" s="12">
        <v>2.5</v>
      </c>
      <c r="G19">
        <v>2.93</v>
      </c>
      <c r="H19">
        <v>1</v>
      </c>
      <c r="I19">
        <v>90.338933788633767</v>
      </c>
      <c r="J19">
        <v>146.52488340131313</v>
      </c>
      <c r="K19">
        <v>153.99498299123488</v>
      </c>
      <c r="L19">
        <v>1.3069999999999999</v>
      </c>
      <c r="M19">
        <v>150.40393517311642</v>
      </c>
      <c r="O19" s="2">
        <f t="shared" si="3"/>
        <v>3.4764197128231609</v>
      </c>
      <c r="P19">
        <f t="shared" si="0"/>
        <v>1.1864913695642187</v>
      </c>
      <c r="Q19">
        <f t="shared" si="4"/>
        <v>2.5166051676305266</v>
      </c>
      <c r="R19">
        <f t="shared" si="1"/>
        <v>0.85890961352577688</v>
      </c>
      <c r="S19">
        <f t="shared" si="7"/>
        <v>2.2632770116841101</v>
      </c>
      <c r="T19">
        <f t="shared" si="5"/>
        <v>0.77244949204235835</v>
      </c>
      <c r="U19" s="2">
        <f t="shared" si="6"/>
        <v>2.5037057140177201</v>
      </c>
      <c r="V19">
        <f t="shared" si="2"/>
        <v>0.85450706963062117</v>
      </c>
    </row>
    <row r="20" spans="1:22">
      <c r="A20">
        <f>A19+1</f>
        <v>2005</v>
      </c>
      <c r="G20">
        <v>2.9284166666666671</v>
      </c>
      <c r="H20">
        <v>1.0964239819992485</v>
      </c>
      <c r="I20">
        <v>88.878478404032762</v>
      </c>
      <c r="J20">
        <v>142.1876125219637</v>
      </c>
      <c r="K20">
        <v>154.65523378588117</v>
      </c>
      <c r="L20">
        <v>1.3518098637415767</v>
      </c>
      <c r="M20">
        <v>157.15477275693544</v>
      </c>
      <c r="O20" s="2">
        <f t="shared" si="3"/>
        <v>3.9139694550490094</v>
      </c>
      <c r="P20">
        <f t="shared" si="0"/>
        <v>1.3365480054804391</v>
      </c>
      <c r="Q20">
        <f t="shared" si="4"/>
        <v>2.8725763790572363</v>
      </c>
      <c r="R20">
        <f t="shared" si="1"/>
        <v>0.98093157703784273</v>
      </c>
      <c r="S20">
        <f t="shared" si="7"/>
        <v>2.4962411669893108</v>
      </c>
      <c r="T20">
        <f t="shared" si="5"/>
        <v>0.85242007922004848</v>
      </c>
      <c r="U20" s="2">
        <f t="shared" si="6"/>
        <v>2.6541275089702743</v>
      </c>
      <c r="V20">
        <f t="shared" si="2"/>
        <v>0.90633533785729736</v>
      </c>
    </row>
    <row r="21" spans="1:22">
      <c r="A21">
        <f t="shared" ref="A21:A39" si="8">A20+1</f>
        <v>2006</v>
      </c>
      <c r="G21">
        <v>3.0777499999999995</v>
      </c>
      <c r="H21">
        <v>1.2089395898827904</v>
      </c>
      <c r="I21">
        <v>91.964433250352712</v>
      </c>
      <c r="J21">
        <v>144.27252737188527</v>
      </c>
      <c r="K21">
        <v>156.92361910589923</v>
      </c>
      <c r="L21">
        <v>1.3954825547957348</v>
      </c>
      <c r="M21">
        <v>160.29437528727601</v>
      </c>
      <c r="O21" s="2">
        <f t="shared" si="3"/>
        <v>4.1209953598415154</v>
      </c>
      <c r="P21">
        <f t="shared" si="0"/>
        <v>1.338963645468773</v>
      </c>
      <c r="Q21">
        <f t="shared" si="4"/>
        <v>3.0843076317917952</v>
      </c>
      <c r="R21">
        <f t="shared" si="1"/>
        <v>1.002130657718072</v>
      </c>
      <c r="S21">
        <f t="shared" si="7"/>
        <v>2.6802223761270803</v>
      </c>
      <c r="T21">
        <f t="shared" si="5"/>
        <v>0.87083823446578856</v>
      </c>
      <c r="U21" s="2">
        <f t="shared" si="6"/>
        <v>2.8349085668878398</v>
      </c>
      <c r="V21">
        <f t="shared" si="2"/>
        <v>0.92109773922113236</v>
      </c>
    </row>
    <row r="22" spans="1:22">
      <c r="A22">
        <f t="shared" si="8"/>
        <v>2007</v>
      </c>
      <c r="G22">
        <v>3.1191666666666666</v>
      </c>
      <c r="H22">
        <v>1.4301885530069212</v>
      </c>
      <c r="I22">
        <v>100.03274567024935</v>
      </c>
      <c r="J22">
        <v>154.8734635250496</v>
      </c>
      <c r="K22">
        <v>168.454380012596</v>
      </c>
      <c r="L22">
        <v>1.4352525517834864</v>
      </c>
      <c r="M22">
        <v>168.20073170950346</v>
      </c>
      <c r="O22" s="2">
        <f t="shared" si="3"/>
        <v>4.5727158406326627</v>
      </c>
      <c r="P22">
        <f t="shared" si="0"/>
        <v>1.4660056128130363</v>
      </c>
      <c r="Q22">
        <f t="shared" si="4"/>
        <v>3.4678371654925382</v>
      </c>
      <c r="R22">
        <f t="shared" si="1"/>
        <v>1.1117832216380032</v>
      </c>
      <c r="S22">
        <f t="shared" si="7"/>
        <v>3.0135001390766472</v>
      </c>
      <c r="T22">
        <f t="shared" si="5"/>
        <v>0.96612347499117734</v>
      </c>
      <c r="U22" s="2">
        <f t="shared" si="6"/>
        <v>3.2607975655033163</v>
      </c>
      <c r="V22">
        <f t="shared" si="2"/>
        <v>1.0454066467015708</v>
      </c>
    </row>
    <row r="23" spans="1:22">
      <c r="A23">
        <f t="shared" si="8"/>
        <v>2008</v>
      </c>
      <c r="G23">
        <v>3.1831666666666667</v>
      </c>
      <c r="H23">
        <v>1.8171998268522611</v>
      </c>
      <c r="I23">
        <v>98.958018813870879</v>
      </c>
      <c r="J23">
        <v>155.51685957128788</v>
      </c>
      <c r="K23">
        <v>169.15405140504745</v>
      </c>
      <c r="L23">
        <v>1.4902709664236544</v>
      </c>
      <c r="M23">
        <v>166.28774442109076</v>
      </c>
      <c r="O23" s="2">
        <f t="shared" si="3"/>
        <v>5.592039744778452</v>
      </c>
      <c r="P23">
        <f t="shared" si="0"/>
        <v>1.7567536765626846</v>
      </c>
      <c r="Q23">
        <f t="shared" si="4"/>
        <v>4.1779483594322055</v>
      </c>
      <c r="R23">
        <f t="shared" si="1"/>
        <v>1.3125132287864931</v>
      </c>
      <c r="S23">
        <f t="shared" si="7"/>
        <v>3.630579552226068</v>
      </c>
      <c r="T23">
        <f t="shared" si="5"/>
        <v>1.1405559093856437</v>
      </c>
      <c r="U23" s="2">
        <f t="shared" si="6"/>
        <v>3.9902151595981401</v>
      </c>
      <c r="V23">
        <f t="shared" si="2"/>
        <v>1.2535363609397792</v>
      </c>
    </row>
    <row r="24" spans="1:22">
      <c r="A24">
        <f t="shared" si="8"/>
        <v>2009</v>
      </c>
      <c r="G24">
        <v>3.75</v>
      </c>
      <c r="H24">
        <v>2.0822573595387337</v>
      </c>
      <c r="I24">
        <v>91.364301044930812</v>
      </c>
      <c r="J24">
        <v>136.68538635328446</v>
      </c>
      <c r="K24">
        <v>154.23329234769434</v>
      </c>
      <c r="L24">
        <v>1.4851001953895027</v>
      </c>
      <c r="M24">
        <v>166.18723689476133</v>
      </c>
      <c r="O24" s="2">
        <f t="shared" si="3"/>
        <v>6.9602258838325897</v>
      </c>
      <c r="P24">
        <f t="shared" si="0"/>
        <v>1.8560602356886906</v>
      </c>
      <c r="Q24">
        <f t="shared" si="4"/>
        <v>5.4625709364848545</v>
      </c>
      <c r="R24">
        <f t="shared" si="1"/>
        <v>1.456685583062628</v>
      </c>
      <c r="S24">
        <f t="shared" si="7"/>
        <v>4.5757138887159892</v>
      </c>
      <c r="T24">
        <f t="shared" si="5"/>
        <v>1.2201903703242638</v>
      </c>
      <c r="U24" s="2">
        <f t="shared" si="6"/>
        <v>4.588149057262215</v>
      </c>
      <c r="V24">
        <f t="shared" si="2"/>
        <v>1.223506415269924</v>
      </c>
    </row>
    <row r="25" spans="1:22">
      <c r="A25">
        <f t="shared" si="8"/>
        <v>2010</v>
      </c>
      <c r="G25">
        <v>3.89</v>
      </c>
      <c r="H25">
        <v>2.5630419478498032</v>
      </c>
      <c r="I25">
        <v>110.38261029662218</v>
      </c>
      <c r="J25">
        <v>145.83816940799227</v>
      </c>
      <c r="K25">
        <v>161.59825292150518</v>
      </c>
      <c r="L25">
        <v>1.5094977244430594</v>
      </c>
      <c r="M25">
        <v>182.56289460959212</v>
      </c>
      <c r="O25" s="2">
        <f t="shared" si="3"/>
        <v>7.6640557863621899</v>
      </c>
      <c r="P25">
        <f t="shared" si="0"/>
        <v>1.970194289553262</v>
      </c>
      <c r="Q25">
        <f t="shared" si="4"/>
        <v>6.8109456850621992</v>
      </c>
      <c r="R25">
        <f t="shared" si="1"/>
        <v>1.7508857802216451</v>
      </c>
      <c r="S25">
        <f t="shared" si="7"/>
        <v>5.8097811880756645</v>
      </c>
      <c r="T25">
        <f t="shared" si="5"/>
        <v>1.4935170149294767</v>
      </c>
      <c r="U25" s="2">
        <f t="shared" si="6"/>
        <v>5.5562543650825642</v>
      </c>
      <c r="V25">
        <f t="shared" si="2"/>
        <v>1.4283430244428186</v>
      </c>
    </row>
    <row r="26" spans="1:22">
      <c r="A26">
        <f t="shared" si="8"/>
        <v>2011</v>
      </c>
      <c r="G26">
        <v>4.1100000000000003</v>
      </c>
      <c r="H26">
        <v>3.1636716810305039</v>
      </c>
      <c r="I26">
        <v>111.8062861512628</v>
      </c>
      <c r="J26">
        <v>150.39454419822803</v>
      </c>
      <c r="K26">
        <v>164.73474532047646</v>
      </c>
      <c r="L26">
        <v>1.5570928265565678</v>
      </c>
      <c r="M26">
        <v>185.05060230373886</v>
      </c>
      <c r="O26" s="2">
        <f t="shared" si="3"/>
        <v>9.1775072652070495</v>
      </c>
      <c r="P26">
        <f t="shared" si="0"/>
        <v>2.2329701375199633</v>
      </c>
      <c r="Q26">
        <f t="shared" si="4"/>
        <v>8.010842275473399</v>
      </c>
      <c r="R26">
        <f t="shared" si="1"/>
        <v>1.9491100426942576</v>
      </c>
      <c r="S26">
        <f t="shared" si="7"/>
        <v>6.9126229675458744</v>
      </c>
      <c r="T26">
        <f t="shared" si="5"/>
        <v>1.681903398429653</v>
      </c>
      <c r="U26" s="2">
        <f t="shared" si="6"/>
        <v>6.6486852087961612</v>
      </c>
      <c r="V26">
        <f t="shared" si="2"/>
        <v>1.6176849656438348</v>
      </c>
    </row>
    <row r="27" spans="1:22">
      <c r="A27">
        <f t="shared" si="8"/>
        <v>2012</v>
      </c>
      <c r="G27">
        <v>4.5525185190000004</v>
      </c>
      <c r="H27">
        <v>3.9120057032833038</v>
      </c>
      <c r="I27">
        <v>103.23639810244597</v>
      </c>
      <c r="J27">
        <v>138.07465970786836</v>
      </c>
      <c r="K27">
        <v>162.69797402243827</v>
      </c>
      <c r="L27">
        <v>1.5893562123039116</v>
      </c>
      <c r="M27">
        <v>186.4814623973779</v>
      </c>
      <c r="O27" s="2">
        <f t="shared" si="3"/>
        <v>12.134017328849971</v>
      </c>
      <c r="P27">
        <f t="shared" si="0"/>
        <v>2.6653416736710631</v>
      </c>
      <c r="Q27">
        <f t="shared" si="4"/>
        <v>10.652284990795556</v>
      </c>
      <c r="R27">
        <f t="shared" si="1"/>
        <v>2.3398663720615511</v>
      </c>
      <c r="S27">
        <f t="shared" si="7"/>
        <v>8.5446136289803949</v>
      </c>
      <c r="T27">
        <f t="shared" si="5"/>
        <v>1.8768981594076617</v>
      </c>
      <c r="U27" s="2">
        <f t="shared" si="6"/>
        <v>8.0544725093600515</v>
      </c>
      <c r="V27">
        <f t="shared" si="2"/>
        <v>1.7692344305123848</v>
      </c>
    </row>
    <row r="28" spans="1:22">
      <c r="A28">
        <f t="shared" si="8"/>
        <v>2013</v>
      </c>
      <c r="G28">
        <v>5.49</v>
      </c>
      <c r="H28">
        <v>4.9091424414151597</v>
      </c>
      <c r="I28">
        <v>105.30891630127405</v>
      </c>
      <c r="J28">
        <v>138.02823459461194</v>
      </c>
      <c r="K28">
        <v>160.76764721316422</v>
      </c>
      <c r="L28">
        <v>1.6126492796378304</v>
      </c>
      <c r="M28">
        <v>188.12901667394831</v>
      </c>
      <c r="O28" s="2">
        <f t="shared" si="3"/>
        <v>14.841571931575592</v>
      </c>
      <c r="P28">
        <f t="shared" si="0"/>
        <v>2.7033828654964647</v>
      </c>
      <c r="Q28">
        <f t="shared" si="4"/>
        <v>13.295247169517651</v>
      </c>
      <c r="R28">
        <f t="shared" si="1"/>
        <v>2.4217207959048546</v>
      </c>
      <c r="S28">
        <f t="shared" si="7"/>
        <v>10.78905752927435</v>
      </c>
      <c r="T28">
        <f t="shared" si="5"/>
        <v>1.9652199506874954</v>
      </c>
      <c r="U28" s="2">
        <f t="shared" si="6"/>
        <v>9.9614962252832076</v>
      </c>
      <c r="V28">
        <f t="shared" si="2"/>
        <v>1.8144801867546825</v>
      </c>
    </row>
    <row r="29" spans="1:22">
      <c r="A29">
        <f t="shared" si="8"/>
        <v>2014</v>
      </c>
      <c r="G29">
        <v>8.1235999999999997</v>
      </c>
      <c r="H29">
        <v>6.802796220329471</v>
      </c>
      <c r="I29">
        <v>99.408902713441918</v>
      </c>
      <c r="J29">
        <v>135.04193603910971</v>
      </c>
      <c r="K29">
        <v>158.33275087835915</v>
      </c>
      <c r="L29">
        <v>1.6387851168156911</v>
      </c>
      <c r="M29">
        <v>187.27416656886254</v>
      </c>
      <c r="O29" s="2">
        <f t="shared" si="3"/>
        <v>21.342318478970618</v>
      </c>
      <c r="P29">
        <f t="shared" si="0"/>
        <v>2.6271995764157046</v>
      </c>
      <c r="Q29">
        <f t="shared" si="4"/>
        <v>18.446650726651335</v>
      </c>
      <c r="R29">
        <f t="shared" si="1"/>
        <v>2.2707482799068561</v>
      </c>
      <c r="S29">
        <f t="shared" si="7"/>
        <v>14.870762551030426</v>
      </c>
      <c r="T29">
        <f t="shared" si="5"/>
        <v>1.830563118694966</v>
      </c>
      <c r="U29" s="2">
        <f t="shared" si="6"/>
        <v>13.583895086996176</v>
      </c>
      <c r="V29">
        <f t="shared" si="2"/>
        <v>1.6721521353828568</v>
      </c>
    </row>
    <row r="30" spans="1:22">
      <c r="A30">
        <f t="shared" si="8"/>
        <v>2015</v>
      </c>
      <c r="G30">
        <v>9.43</v>
      </c>
      <c r="H30">
        <v>8.5686951195467103</v>
      </c>
      <c r="I30">
        <v>102.51950288951565</v>
      </c>
      <c r="J30">
        <v>145.11021592878367</v>
      </c>
      <c r="K30">
        <v>160.55230463482016</v>
      </c>
      <c r="L30">
        <v>1.647</v>
      </c>
      <c r="M30">
        <v>183.98915064655469</v>
      </c>
      <c r="O30" s="2">
        <f t="shared" si="3"/>
        <v>25.48181551080215</v>
      </c>
      <c r="P30">
        <f t="shared" si="0"/>
        <v>2.7022073712409491</v>
      </c>
      <c r="Q30">
        <f t="shared" si="4"/>
        <v>21.137721639902459</v>
      </c>
      <c r="R30">
        <f t="shared" si="1"/>
        <v>2.2415399406047145</v>
      </c>
      <c r="S30">
        <f t="shared" si="7"/>
        <v>18.05749214959582</v>
      </c>
      <c r="T30">
        <f t="shared" si="5"/>
        <v>1.9148984251957393</v>
      </c>
      <c r="U30" s="2">
        <f t="shared" si="6"/>
        <v>17.024719276719914</v>
      </c>
      <c r="V30">
        <f t="shared" si="2"/>
        <v>1.8053785023032782</v>
      </c>
    </row>
    <row r="31" spans="1:22">
      <c r="A31">
        <f t="shared" si="8"/>
        <v>2016</v>
      </c>
      <c r="G31">
        <v>14.777446188672441</v>
      </c>
      <c r="H31">
        <v>12.115232433931457</v>
      </c>
      <c r="I31">
        <v>99.170058443253296</v>
      </c>
      <c r="J31">
        <v>137.28909182480567</v>
      </c>
      <c r="K31">
        <v>151.66151464047073</v>
      </c>
      <c r="L31">
        <v>1.6677771172531926</v>
      </c>
      <c r="M31">
        <v>182.99238439414933</v>
      </c>
      <c r="O31" s="2">
        <f t="shared" si="3"/>
        <v>36.582193232659577</v>
      </c>
      <c r="P31">
        <f t="shared" si="0"/>
        <v>2.4755423072155343</v>
      </c>
      <c r="Q31">
        <f t="shared" si="4"/>
        <v>31.026556689995139</v>
      </c>
      <c r="R31">
        <f t="shared" si="1"/>
        <v>2.0995885414746667</v>
      </c>
      <c r="S31">
        <f t="shared" si="7"/>
        <v>26.546791546204155</v>
      </c>
      <c r="T31">
        <f t="shared" si="5"/>
        <v>1.7964397371010854</v>
      </c>
      <c r="U31" s="2">
        <f t="shared" si="6"/>
        <v>23.771282205219748</v>
      </c>
      <c r="V31">
        <f t="shared" si="2"/>
        <v>1.6086191011435709</v>
      </c>
    </row>
    <row r="32" spans="1:22">
      <c r="A32">
        <f t="shared" si="8"/>
        <v>2017</v>
      </c>
      <c r="G32">
        <v>16.556716666666663</v>
      </c>
      <c r="H32">
        <v>15.333078807395367</v>
      </c>
      <c r="I32">
        <v>95.008850429335169</v>
      </c>
      <c r="J32">
        <v>145.40148849519053</v>
      </c>
      <c r="K32">
        <v>156.22925891504519</v>
      </c>
      <c r="L32">
        <v>1.703306682643017</v>
      </c>
      <c r="M32">
        <v>182.96291175894964</v>
      </c>
      <c r="O32" s="2">
        <f t="shared" si="3"/>
        <v>47.310666918477487</v>
      </c>
      <c r="P32">
        <f t="shared" si="0"/>
        <v>2.8574908824602399</v>
      </c>
      <c r="Q32">
        <f t="shared" si="4"/>
        <v>36.297238496951444</v>
      </c>
      <c r="R32">
        <f t="shared" si="1"/>
        <v>2.1922968924163579</v>
      </c>
      <c r="S32">
        <f t="shared" si="7"/>
        <v>31.929923704537504</v>
      </c>
      <c r="T32">
        <f t="shared" si="5"/>
        <v>1.9285178545587749</v>
      </c>
      <c r="U32" s="2">
        <f t="shared" si="6"/>
        <v>29.457466034205929</v>
      </c>
      <c r="V32">
        <f t="shared" si="2"/>
        <v>1.7791852471276572</v>
      </c>
    </row>
    <row r="33" spans="1:22">
      <c r="A33">
        <f t="shared" si="8"/>
        <v>2018</v>
      </c>
      <c r="G33">
        <v>28.112430345117847</v>
      </c>
      <c r="H33">
        <v>20.573685655526166</v>
      </c>
      <c r="I33">
        <v>92.370904252046159</v>
      </c>
      <c r="J33">
        <v>173.45821576275918</v>
      </c>
      <c r="K33">
        <v>166.39750141692105</v>
      </c>
      <c r="L33">
        <v>1.7449095592299284</v>
      </c>
      <c r="M33">
        <v>182.09217009450006</v>
      </c>
      <c r="O33" s="2">
        <f t="shared" si="3"/>
        <v>63.433519392850506</v>
      </c>
      <c r="P33">
        <f t="shared" si="0"/>
        <v>2.2564224655826211</v>
      </c>
      <c r="Q33">
        <f t="shared" si="4"/>
        <v>39.662349007049116</v>
      </c>
      <c r="R33">
        <f t="shared" si="1"/>
        <v>1.4108473909989461</v>
      </c>
      <c r="S33">
        <f t="shared" si="7"/>
        <v>39.079079168710152</v>
      </c>
      <c r="T33">
        <f t="shared" si="5"/>
        <v>1.3900996352489614</v>
      </c>
      <c r="U33" s="2">
        <f t="shared" si="6"/>
        <v>38.583182411150112</v>
      </c>
      <c r="V33">
        <f t="shared" si="2"/>
        <v>1.3724598669517263</v>
      </c>
    </row>
    <row r="34" spans="1:22">
      <c r="A34">
        <f t="shared" si="8"/>
        <v>2019</v>
      </c>
      <c r="G34">
        <v>48.254858333333338</v>
      </c>
      <c r="H34">
        <v>31.619053730324666</v>
      </c>
      <c r="I34">
        <v>89.420186506540261</v>
      </c>
      <c r="J34">
        <v>165.71722329787011</v>
      </c>
      <c r="K34">
        <v>169.0650459907564</v>
      </c>
      <c r="L34">
        <v>1.7765269115717437</v>
      </c>
      <c r="M34" s="17">
        <v>177.42181281894955</v>
      </c>
      <c r="O34" s="2">
        <f t="shared" si="3"/>
        <v>96.376704411336405</v>
      </c>
      <c r="P34">
        <f t="shared" si="0"/>
        <v>1.9972435468691783</v>
      </c>
      <c r="Q34">
        <f t="shared" si="4"/>
        <v>61.060351382078714</v>
      </c>
      <c r="R34">
        <f t="shared" si="1"/>
        <v>1.2653720991218751</v>
      </c>
      <c r="S34">
        <f t="shared" si="7"/>
        <v>56.570619662808234</v>
      </c>
      <c r="T34">
        <f t="shared" si="5"/>
        <v>1.1723300330099728</v>
      </c>
      <c r="U34" s="2">
        <f t="shared" si="6"/>
        <v>58.241955193527041</v>
      </c>
      <c r="V34">
        <f t="shared" si="2"/>
        <v>1.2069656238798829</v>
      </c>
    </row>
    <row r="35" spans="1:22">
      <c r="A35">
        <f t="shared" si="8"/>
        <v>2020</v>
      </c>
      <c r="G35">
        <v>70.634765241702738</v>
      </c>
      <c r="H35">
        <v>44.888811953675251</v>
      </c>
      <c r="I35">
        <v>77.491318955315279</v>
      </c>
      <c r="J35">
        <v>136.94192569812748</v>
      </c>
      <c r="K35">
        <v>143.86023992359009</v>
      </c>
      <c r="L35">
        <v>1.798445995106134</v>
      </c>
      <c r="M35" s="17">
        <v>176.50254885421694</v>
      </c>
      <c r="O35" s="2">
        <f t="shared" si="3"/>
        <v>155.15371951265388</v>
      </c>
      <c r="P35">
        <f t="shared" si="0"/>
        <v>2.1965631085732156</v>
      </c>
      <c r="Q35">
        <f t="shared" si="4"/>
        <v>103.08562722365303</v>
      </c>
      <c r="R35">
        <f t="shared" si="1"/>
        <v>1.459417708417488</v>
      </c>
      <c r="S35">
        <f t="shared" si="7"/>
        <v>92.749501499356313</v>
      </c>
      <c r="T35">
        <f t="shared" si="5"/>
        <v>1.3130857189371254</v>
      </c>
      <c r="U35" s="2">
        <f t="shared" si="6"/>
        <v>81.676962501877767</v>
      </c>
      <c r="V35">
        <f t="shared" si="2"/>
        <v>1.1563280804061584</v>
      </c>
    </row>
    <row r="36" spans="1:22">
      <c r="A36">
        <f t="shared" si="8"/>
        <v>2021</v>
      </c>
      <c r="G36">
        <v>95.093249999999998</v>
      </c>
      <c r="H36">
        <v>66.584087012530901</v>
      </c>
      <c r="I36">
        <v>95.737514441767431</v>
      </c>
      <c r="J36">
        <v>122.70088885275025</v>
      </c>
      <c r="K36">
        <v>143.38765027916438</v>
      </c>
      <c r="L36">
        <v>1.8829344496949594</v>
      </c>
      <c r="M36" s="17">
        <v>181.79329196290928</v>
      </c>
      <c r="O36" s="2">
        <f t="shared" si="3"/>
        <v>183.2544403613368</v>
      </c>
      <c r="P36">
        <f t="shared" si="0"/>
        <v>1.9271025058175717</v>
      </c>
      <c r="Q36">
        <f t="shared" si="4"/>
        <v>167.88359093483791</v>
      </c>
      <c r="R36">
        <f t="shared" si="1"/>
        <v>1.7654627529802369</v>
      </c>
      <c r="S36">
        <f t="shared" si="7"/>
        <v>135.78819855023656</v>
      </c>
      <c r="T36">
        <f t="shared" si="5"/>
        <v>1.4279478149104858</v>
      </c>
      <c r="U36" s="2">
        <f t="shared" si="6"/>
        <v>115.71618735841513</v>
      </c>
      <c r="V36">
        <f t="shared" si="2"/>
        <v>1.2168706754518868</v>
      </c>
    </row>
    <row r="37" spans="1:22">
      <c r="A37">
        <f t="shared" si="8"/>
        <v>2022</v>
      </c>
      <c r="G37">
        <v>130.81163900000001</v>
      </c>
      <c r="H37">
        <v>114.74033996546228</v>
      </c>
      <c r="I37" s="16">
        <v>85.376144692734229</v>
      </c>
      <c r="J37" s="16">
        <v>129.67753101651664</v>
      </c>
      <c r="K37" s="16">
        <v>137.79343459857893</v>
      </c>
      <c r="L37">
        <v>2.0336219244556788</v>
      </c>
      <c r="M37" s="17">
        <v>178.36824584019223</v>
      </c>
      <c r="O37" s="2">
        <f t="shared" si="3"/>
        <v>321.69956332310772</v>
      </c>
      <c r="P37">
        <f t="shared" si="0"/>
        <v>2.4592579512218151</v>
      </c>
      <c r="Q37">
        <f t="shared" si="4"/>
        <v>248.68041406973688</v>
      </c>
      <c r="R37">
        <f t="shared" si="1"/>
        <v>1.9010572451411365</v>
      </c>
      <c r="S37">
        <f t="shared" si="7"/>
        <v>221.2053393728653</v>
      </c>
      <c r="T37">
        <f t="shared" si="5"/>
        <v>1.6910218468623062</v>
      </c>
      <c r="U37" s="2">
        <f t="shared" si="6"/>
        <v>184.63106934388529</v>
      </c>
      <c r="V37">
        <f t="shared" si="2"/>
        <v>1.4114269246629136</v>
      </c>
    </row>
    <row r="38" spans="1:22">
      <c r="A38">
        <f t="shared" si="8"/>
        <v>2023</v>
      </c>
      <c r="G38">
        <v>295.29489711934099</v>
      </c>
      <c r="H38">
        <v>267.69790929016864</v>
      </c>
      <c r="I38" s="16">
        <v>88.48767773250708</v>
      </c>
      <c r="J38" s="16">
        <v>115.235849893664</v>
      </c>
      <c r="K38" s="16">
        <v>114.61514922655276</v>
      </c>
      <c r="L38">
        <v>2.0945626799084249</v>
      </c>
      <c r="M38" s="17">
        <v>176.24785183169803</v>
      </c>
      <c r="O38" s="2">
        <f t="shared" si="3"/>
        <v>694.730244073937</v>
      </c>
      <c r="P38">
        <f t="shared" si="0"/>
        <v>2.3526659310782723</v>
      </c>
      <c r="Q38">
        <f t="shared" si="4"/>
        <v>626.36963821548613</v>
      </c>
      <c r="R38">
        <f t="shared" si="1"/>
        <v>2.121166482475124</v>
      </c>
      <c r="S38">
        <f t="shared" si="7"/>
        <v>595.24272898891206</v>
      </c>
      <c r="T38">
        <f t="shared" si="5"/>
        <v>2.0157569087567051</v>
      </c>
      <c r="U38" s="2">
        <f t="shared" si="6"/>
        <v>418.22547807003423</v>
      </c>
      <c r="V38">
        <f t="shared" si="2"/>
        <v>1.4162976812329129</v>
      </c>
    </row>
    <row r="39" spans="1:22">
      <c r="A39">
        <f t="shared" si="8"/>
        <v>2024</v>
      </c>
      <c r="G39">
        <v>959.27235294117702</v>
      </c>
      <c r="H39">
        <v>855.7957527791043</v>
      </c>
      <c r="I39" s="16">
        <v>82.088880966737861</v>
      </c>
      <c r="J39" s="14">
        <f>J38</f>
        <v>115.235849893664</v>
      </c>
      <c r="K39" s="14">
        <f>K38</f>
        <v>114.61514922655276</v>
      </c>
      <c r="L39">
        <v>2.1081294323028978</v>
      </c>
      <c r="M39" s="17">
        <v>177.31754346364445</v>
      </c>
      <c r="O39" s="2">
        <f t="shared" si="3"/>
        <v>2393.1161547947131</v>
      </c>
      <c r="P39">
        <f t="shared" si="0"/>
        <v>2.4947202402501221</v>
      </c>
      <c r="Q39">
        <f t="shared" si="4"/>
        <v>2001.6115978415439</v>
      </c>
      <c r="R39">
        <f t="shared" si="1"/>
        <v>2.0865936474709219</v>
      </c>
      <c r="S39">
        <f t="shared" si="7"/>
        <v>1902.1432029647194</v>
      </c>
      <c r="T39">
        <f t="shared" si="5"/>
        <v>1.9829021415374406</v>
      </c>
      <c r="U39" s="2">
        <f t="shared" si="6"/>
        <v>1328.4087367915301</v>
      </c>
      <c r="V39">
        <f t="shared" si="2"/>
        <v>1.3848087383302172</v>
      </c>
    </row>
    <row r="40" spans="1:22">
      <c r="A40" s="18">
        <v>45658</v>
      </c>
      <c r="G40">
        <v>1069.1470000000004</v>
      </c>
      <c r="H40">
        <v>874.62325934024466</v>
      </c>
      <c r="I40" s="14">
        <f>I39</f>
        <v>82.088880966737861</v>
      </c>
      <c r="J40" s="14">
        <f>J39</f>
        <v>115.235849893664</v>
      </c>
      <c r="K40" s="14">
        <f t="shared" ref="K40:K45" si="9">K39</f>
        <v>114.61514922655276</v>
      </c>
      <c r="L40" s="14">
        <f>L39</f>
        <v>2.1081294323028978</v>
      </c>
      <c r="M40" s="14">
        <f>M39</f>
        <v>177.31754346364445</v>
      </c>
      <c r="O40" s="2">
        <f t="shared" ref="O40:O45" si="10">O39*((H40/H39)/(L40/L39))*((M40/M39)/(I40/I39))</f>
        <v>2445.764710200197</v>
      </c>
      <c r="P40">
        <f t="shared" ref="P40:P45" si="11">O40/G40</f>
        <v>2.2875850656646803</v>
      </c>
      <c r="Q40">
        <f t="shared" ref="Q40:Q45" si="12">Q39*((H40/H39)/(L40/L39))*((M40/M39)/(J40/J39))</f>
        <v>2045.647052994058</v>
      </c>
      <c r="R40">
        <f t="shared" ref="R40:R45" si="13">Q40/G40</f>
        <v>1.9133449871664581</v>
      </c>
      <c r="S40">
        <f t="shared" si="7"/>
        <v>1943.9903534299433</v>
      </c>
      <c r="T40">
        <f t="shared" si="5"/>
        <v>1.8182629268285302</v>
      </c>
      <c r="U40" s="2">
        <f t="shared" ref="U40:U45" si="14">U39*(H40/H39)/(L40/L39)</f>
        <v>1357.6337290009437</v>
      </c>
      <c r="V40">
        <f t="shared" ref="V40:V45" si="15">U40/G40</f>
        <v>1.2698288719894861</v>
      </c>
    </row>
    <row r="41" spans="1:22">
      <c r="A41" s="18">
        <v>45689</v>
      </c>
      <c r="G41">
        <v>1085.1099999999999</v>
      </c>
      <c r="H41">
        <v>895.61421756441052</v>
      </c>
      <c r="I41" s="14">
        <f t="shared" ref="I41:I45" si="16">I40</f>
        <v>82.088880966737861</v>
      </c>
      <c r="J41" s="14">
        <f t="shared" ref="J41:J45" si="17">J40</f>
        <v>115.235849893664</v>
      </c>
      <c r="K41" s="14">
        <f t="shared" si="9"/>
        <v>114.61514922655276</v>
      </c>
      <c r="L41" s="14">
        <f t="shared" ref="L41:L45" si="18">L40</f>
        <v>2.1081294323028978</v>
      </c>
      <c r="M41" s="14">
        <f t="shared" ref="M41:M45" si="19">M40</f>
        <v>177.31754346364445</v>
      </c>
      <c r="O41" s="2">
        <f t="shared" si="10"/>
        <v>2504.4630632450016</v>
      </c>
      <c r="P41">
        <f t="shared" si="11"/>
        <v>2.3080268942733935</v>
      </c>
      <c r="Q41">
        <f t="shared" si="12"/>
        <v>2094.7425822659152</v>
      </c>
      <c r="R41">
        <f t="shared" si="13"/>
        <v>1.9304426115932167</v>
      </c>
      <c r="S41">
        <f t="shared" si="7"/>
        <v>1990.6461219122621</v>
      </c>
      <c r="T41">
        <f t="shared" si="5"/>
        <v>1.8345108992749697</v>
      </c>
      <c r="U41" s="2">
        <f t="shared" si="14"/>
        <v>1390.2169384969663</v>
      </c>
      <c r="V41">
        <f t="shared" si="15"/>
        <v>1.2811760452829357</v>
      </c>
    </row>
    <row r="42" spans="1:22">
      <c r="A42" s="18">
        <v>45717</v>
      </c>
      <c r="G42">
        <v>1105.7755555555555</v>
      </c>
      <c r="H42">
        <v>928.75194361429362</v>
      </c>
      <c r="I42" s="14">
        <f t="shared" si="16"/>
        <v>82.088880966737861</v>
      </c>
      <c r="J42" s="14">
        <f t="shared" si="17"/>
        <v>115.235849893664</v>
      </c>
      <c r="K42" s="14">
        <f t="shared" si="9"/>
        <v>114.61514922655276</v>
      </c>
      <c r="L42" s="14">
        <f t="shared" si="18"/>
        <v>2.1081294323028978</v>
      </c>
      <c r="M42" s="14">
        <f t="shared" si="19"/>
        <v>177.31754346364445</v>
      </c>
      <c r="O42" s="2">
        <f t="shared" si="10"/>
        <v>2597.1281965850667</v>
      </c>
      <c r="P42">
        <f t="shared" si="11"/>
        <v>2.348693804576135</v>
      </c>
      <c r="Q42">
        <f t="shared" si="12"/>
        <v>2172.2480578097538</v>
      </c>
      <c r="R42">
        <f t="shared" si="13"/>
        <v>1.964456572489875</v>
      </c>
      <c r="S42">
        <f t="shared" si="7"/>
        <v>2064.3000284230156</v>
      </c>
      <c r="T42">
        <f t="shared" si="5"/>
        <v>1.8668345651626252</v>
      </c>
      <c r="U42" s="2">
        <f t="shared" si="14"/>
        <v>1441.6549652213539</v>
      </c>
      <c r="V42">
        <f t="shared" si="15"/>
        <v>1.3037500765668928</v>
      </c>
    </row>
    <row r="43" spans="1:22">
      <c r="A43" s="18">
        <v>45748</v>
      </c>
      <c r="G43">
        <v>1145.6657894736843</v>
      </c>
      <c r="H43">
        <v>954.75699803549389</v>
      </c>
      <c r="I43" s="14">
        <f t="shared" si="16"/>
        <v>82.088880966737861</v>
      </c>
      <c r="J43" s="14">
        <f t="shared" si="17"/>
        <v>115.235849893664</v>
      </c>
      <c r="K43" s="14">
        <f t="shared" si="9"/>
        <v>114.61514922655276</v>
      </c>
      <c r="L43" s="14">
        <f t="shared" si="18"/>
        <v>2.1081294323028978</v>
      </c>
      <c r="M43" s="14">
        <f t="shared" si="19"/>
        <v>177.31754346364445</v>
      </c>
      <c r="O43" s="2">
        <f t="shared" si="10"/>
        <v>2669.8477860894486</v>
      </c>
      <c r="P43">
        <f t="shared" si="11"/>
        <v>2.3303897267596421</v>
      </c>
      <c r="Q43">
        <f t="shared" si="12"/>
        <v>2233.071003428427</v>
      </c>
      <c r="R43">
        <f t="shared" si="13"/>
        <v>1.9491469710850786</v>
      </c>
      <c r="S43">
        <f t="shared" si="7"/>
        <v>2122.10042921886</v>
      </c>
      <c r="T43">
        <f t="shared" si="5"/>
        <v>1.8522857614468413</v>
      </c>
      <c r="U43" s="2">
        <f t="shared" si="14"/>
        <v>1482.0213042475518</v>
      </c>
      <c r="V43">
        <f t="shared" si="15"/>
        <v>1.2935895597688993</v>
      </c>
    </row>
    <row r="44" spans="1:22">
      <c r="A44" s="18">
        <v>45778</v>
      </c>
      <c r="G44">
        <v>1146.2105263157894</v>
      </c>
      <c r="H44">
        <v>969.07835300602619</v>
      </c>
      <c r="I44" s="14">
        <f t="shared" si="16"/>
        <v>82.088880966737861</v>
      </c>
      <c r="J44" s="14">
        <f t="shared" si="17"/>
        <v>115.235849893664</v>
      </c>
      <c r="K44" s="14">
        <f t="shared" si="9"/>
        <v>114.61514922655276</v>
      </c>
      <c r="L44" s="14">
        <f t="shared" si="18"/>
        <v>2.1081294323028978</v>
      </c>
      <c r="M44" s="14">
        <f t="shared" si="19"/>
        <v>177.31754346364445</v>
      </c>
      <c r="O44" s="2">
        <f t="shared" si="10"/>
        <v>2709.89550288079</v>
      </c>
      <c r="P44">
        <f t="shared" si="11"/>
        <v>2.3642214415802654</v>
      </c>
      <c r="Q44">
        <f t="shared" si="12"/>
        <v>2266.5670684798533</v>
      </c>
      <c r="R44">
        <f t="shared" si="13"/>
        <v>1.9774439480722388</v>
      </c>
      <c r="S44">
        <f t="shared" si="7"/>
        <v>2153.9319356571427</v>
      </c>
      <c r="T44">
        <f t="shared" si="5"/>
        <v>1.8791765441034858</v>
      </c>
      <c r="U44" s="2">
        <f t="shared" si="14"/>
        <v>1504.2516238112651</v>
      </c>
      <c r="V44">
        <f t="shared" si="15"/>
        <v>1.3123694027189843</v>
      </c>
    </row>
    <row r="45" spans="1:22">
      <c r="A45" s="18">
        <v>45809</v>
      </c>
      <c r="G45">
        <v>1181.0999999999999</v>
      </c>
      <c r="H45">
        <v>984.5836066541226</v>
      </c>
      <c r="I45" s="14">
        <f t="shared" si="16"/>
        <v>82.088880966737861</v>
      </c>
      <c r="J45" s="14">
        <f t="shared" si="17"/>
        <v>115.235849893664</v>
      </c>
      <c r="K45" s="14">
        <f t="shared" si="9"/>
        <v>114.61514922655276</v>
      </c>
      <c r="L45" s="14">
        <f t="shared" si="18"/>
        <v>2.1081294323028978</v>
      </c>
      <c r="M45" s="14">
        <f t="shared" si="19"/>
        <v>177.31754346364445</v>
      </c>
      <c r="O45" s="2">
        <f t="shared" si="10"/>
        <v>2753.2538309268825</v>
      </c>
      <c r="P45">
        <f t="shared" si="11"/>
        <v>2.3310929057039056</v>
      </c>
      <c r="Q45">
        <f t="shared" si="12"/>
        <v>2302.8321415755308</v>
      </c>
      <c r="R45">
        <f t="shared" si="13"/>
        <v>1.9497351126708415</v>
      </c>
      <c r="S45">
        <f t="shared" si="7"/>
        <v>2188.394846627657</v>
      </c>
      <c r="T45">
        <f t="shared" si="5"/>
        <v>1.8528446758341013</v>
      </c>
      <c r="U45" s="2">
        <f t="shared" si="14"/>
        <v>1528.3196497922454</v>
      </c>
      <c r="V45">
        <f t="shared" si="15"/>
        <v>1.2939798914505507</v>
      </c>
    </row>
  </sheetData>
  <mergeCells count="9">
    <mergeCell ref="Q4:R4"/>
    <mergeCell ref="S2:T2"/>
    <mergeCell ref="S4:T4"/>
    <mergeCell ref="B1:D1"/>
    <mergeCell ref="O1:V1"/>
    <mergeCell ref="O2:P2"/>
    <mergeCell ref="U2:V2"/>
    <mergeCell ref="Q2:R2"/>
    <mergeCell ref="G1:M1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01"/>
  <sheetViews>
    <sheetView zoomScale="75" zoomScaleNormal="75" workbookViewId="0">
      <pane xSplit="1" ySplit="4" topLeftCell="Q106" activePane="bottomRight" state="frozen"/>
      <selection pane="topRight" activeCell="B1" sqref="B1"/>
      <selection pane="bottomLeft" activeCell="A5" sqref="A5"/>
      <selection pane="bottomRight" activeCell="W122" sqref="W122"/>
    </sheetView>
  </sheetViews>
  <sheetFormatPr baseColWidth="10" defaultRowHeight="14.4"/>
  <cols>
    <col min="3" max="3" width="18.6640625" customWidth="1"/>
    <col min="9" max="9" width="12.44140625" bestFit="1" customWidth="1"/>
    <col min="16" max="16" width="9.21875" customWidth="1"/>
    <col min="17" max="17" width="12.88671875" customWidth="1"/>
    <col min="18" max="20" width="14.5546875" customWidth="1"/>
    <col min="21" max="21" width="10.21875" customWidth="1"/>
    <col min="22" max="24" width="15.5546875" customWidth="1"/>
    <col min="25" max="25" width="11.109375" customWidth="1"/>
    <col min="26" max="28" width="14.109375" customWidth="1"/>
    <col min="29" max="29" width="8.21875" customWidth="1"/>
    <col min="30" max="30" width="14.21875" customWidth="1"/>
    <col min="32" max="32" width="12.44140625" bestFit="1" customWidth="1"/>
  </cols>
  <sheetData>
    <row r="1" spans="1:32" s="3" customFormat="1" ht="15" thickBot="1">
      <c r="B1" s="41" t="s">
        <v>10</v>
      </c>
      <c r="C1" s="42"/>
      <c r="D1" s="42"/>
      <c r="E1" s="42"/>
      <c r="F1" s="42"/>
      <c r="I1" s="38" t="s">
        <v>11</v>
      </c>
      <c r="J1" s="39"/>
      <c r="K1" s="39"/>
      <c r="L1" s="39"/>
      <c r="M1" s="39"/>
      <c r="N1" s="39"/>
      <c r="O1" s="40"/>
      <c r="P1" s="19"/>
      <c r="Q1" s="43" t="s">
        <v>11</v>
      </c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59"/>
    </row>
    <row r="2" spans="1:32" s="3" customFormat="1">
      <c r="B2" s="4"/>
      <c r="C2" s="5"/>
      <c r="D2" s="6"/>
      <c r="E2" s="3" t="s">
        <v>26</v>
      </c>
      <c r="F2" s="3" t="s">
        <v>27</v>
      </c>
      <c r="J2" s="3" t="s">
        <v>7</v>
      </c>
      <c r="N2" s="3" t="s">
        <v>8</v>
      </c>
      <c r="O2" s="3" t="s">
        <v>8</v>
      </c>
      <c r="Q2" s="44" t="s">
        <v>17</v>
      </c>
      <c r="R2" s="45"/>
      <c r="S2" s="45"/>
      <c r="T2" s="46"/>
      <c r="U2" s="44" t="s">
        <v>119</v>
      </c>
      <c r="V2" s="45"/>
      <c r="W2" s="45"/>
      <c r="X2" s="46"/>
      <c r="Y2" s="44" t="s">
        <v>118</v>
      </c>
      <c r="Z2" s="45"/>
      <c r="AA2" s="45"/>
      <c r="AB2" s="46"/>
      <c r="AC2" s="44" t="s">
        <v>3</v>
      </c>
      <c r="AD2" s="45"/>
      <c r="AE2" s="45"/>
      <c r="AF2" s="46"/>
    </row>
    <row r="3" spans="1:32" s="3" customFormat="1">
      <c r="B3" s="4" t="s">
        <v>0</v>
      </c>
      <c r="C3" s="5" t="s">
        <v>1</v>
      </c>
      <c r="D3" s="6" t="s">
        <v>2</v>
      </c>
      <c r="I3" s="3" t="s">
        <v>0</v>
      </c>
      <c r="J3" s="3" t="s">
        <v>3</v>
      </c>
      <c r="K3" s="3" t="s">
        <v>5</v>
      </c>
      <c r="L3" s="3" t="s">
        <v>16</v>
      </c>
      <c r="M3" s="3" t="s">
        <v>16</v>
      </c>
      <c r="N3" s="3" t="s">
        <v>3</v>
      </c>
      <c r="O3" s="3" t="s">
        <v>9</v>
      </c>
      <c r="Q3" s="47" t="s">
        <v>114</v>
      </c>
      <c r="R3" s="5" t="s">
        <v>115</v>
      </c>
      <c r="S3" s="5" t="s">
        <v>19</v>
      </c>
      <c r="T3" s="48" t="s">
        <v>116</v>
      </c>
      <c r="U3" s="47" t="s">
        <v>114</v>
      </c>
      <c r="V3" s="5" t="s">
        <v>115</v>
      </c>
      <c r="W3" s="5" t="s">
        <v>19</v>
      </c>
      <c r="X3" s="48" t="s">
        <v>116</v>
      </c>
      <c r="Y3" s="47" t="s">
        <v>114</v>
      </c>
      <c r="Z3" s="5" t="s">
        <v>115</v>
      </c>
      <c r="AA3" s="5" t="s">
        <v>19</v>
      </c>
      <c r="AB3" s="48" t="s">
        <v>116</v>
      </c>
      <c r="AC3" s="47" t="s">
        <v>114</v>
      </c>
      <c r="AD3" s="5" t="s">
        <v>115</v>
      </c>
      <c r="AE3" s="5" t="s">
        <v>19</v>
      </c>
      <c r="AF3" s="48" t="s">
        <v>116</v>
      </c>
    </row>
    <row r="4" spans="1:32" s="3" customFormat="1">
      <c r="B4" s="4"/>
      <c r="C4" s="5"/>
      <c r="D4" s="6"/>
      <c r="J4" s="3" t="s">
        <v>4</v>
      </c>
      <c r="K4" s="3" t="s">
        <v>6</v>
      </c>
      <c r="L4" s="3" t="s">
        <v>22</v>
      </c>
      <c r="M4" s="3" t="s">
        <v>23</v>
      </c>
      <c r="Q4" s="47"/>
      <c r="R4" s="5"/>
      <c r="S4" s="5"/>
      <c r="T4" s="48"/>
      <c r="U4" s="54"/>
      <c r="V4" s="42"/>
      <c r="W4" s="27"/>
      <c r="X4" s="55"/>
      <c r="Y4" s="54"/>
      <c r="Z4" s="42"/>
      <c r="AA4" s="27"/>
      <c r="AB4" s="55"/>
      <c r="AC4" s="47"/>
      <c r="AD4" s="5"/>
      <c r="AE4" s="5"/>
      <c r="AF4" s="48"/>
    </row>
    <row r="5" spans="1:32" s="3" customFormat="1">
      <c r="A5" s="3" t="s">
        <v>28</v>
      </c>
      <c r="B5" s="4"/>
      <c r="C5" s="5"/>
      <c r="D5" s="6"/>
      <c r="I5" s="3">
        <f>AVERAGE(I30:I43)</f>
        <v>2.631642857142857E-11</v>
      </c>
      <c r="J5" s="3">
        <f t="shared" ref="J5:O5" si="0">AVERAGE(J30:J43)</f>
        <v>2.0804430379746834E-12</v>
      </c>
      <c r="K5" s="3">
        <f t="shared" si="0"/>
        <v>30.463698906235969</v>
      </c>
      <c r="L5" s="3">
        <f t="shared" si="0"/>
        <v>35.768599700045698</v>
      </c>
      <c r="M5" s="3">
        <f t="shared" si="0"/>
        <v>33.808021374241044</v>
      </c>
      <c r="N5" s="3">
        <f t="shared" si="0"/>
        <v>0.23247142857142858</v>
      </c>
      <c r="O5" s="3">
        <f t="shared" si="0"/>
        <v>36.246788182849549</v>
      </c>
      <c r="Q5" s="47"/>
      <c r="R5" s="5">
        <f t="shared" ref="R5" si="1">AVERAGE(R30:R43)</f>
        <v>0.91451806165905392</v>
      </c>
      <c r="S5" s="5"/>
      <c r="T5" s="48"/>
      <c r="U5" s="56"/>
      <c r="V5" s="5">
        <f t="shared" ref="V5" si="2">AVERAGE(V30:V43)</f>
        <v>0.91451806165905392</v>
      </c>
      <c r="W5" s="27"/>
      <c r="X5" s="55"/>
      <c r="Y5" s="56"/>
      <c r="Z5" s="5">
        <f t="shared" ref="Z5" si="3">AVERAGE(Z30:Z43)</f>
        <v>0.91451806165905403</v>
      </c>
      <c r="AA5" s="27"/>
      <c r="AB5" s="55"/>
      <c r="AC5" s="47"/>
      <c r="AD5" s="5">
        <f t="shared" ref="AD5" si="4">AVERAGE(AD30:AD43)</f>
        <v>0.91249691488009366</v>
      </c>
      <c r="AE5" s="5"/>
      <c r="AF5" s="48"/>
    </row>
    <row r="6" spans="1:32" s="3" customFormat="1">
      <c r="A6"/>
      <c r="B6" s="4"/>
      <c r="C6" s="5"/>
      <c r="D6" s="6"/>
      <c r="Q6" s="47"/>
      <c r="R6" s="5"/>
      <c r="S6" s="5"/>
      <c r="T6" s="48"/>
      <c r="U6" s="56"/>
      <c r="V6" s="27"/>
      <c r="W6" s="27"/>
      <c r="X6" s="55"/>
      <c r="Y6" s="56"/>
      <c r="Z6" s="27"/>
      <c r="AA6" s="27"/>
      <c r="AB6" s="55"/>
      <c r="AC6" s="47"/>
      <c r="AD6" s="5"/>
      <c r="AE6" s="5"/>
      <c r="AF6" s="48"/>
    </row>
    <row r="7" spans="1:32" s="22" customFormat="1">
      <c r="A7" s="22">
        <f t="shared" ref="A7:A59" si="5">A8-1</f>
        <v>1936</v>
      </c>
      <c r="B7" s="23"/>
      <c r="C7" s="24">
        <v>2.9400000000000001E-13</v>
      </c>
      <c r="D7" s="25"/>
      <c r="E7" s="22">
        <v>0.223</v>
      </c>
      <c r="F7" s="22">
        <v>0.186</v>
      </c>
      <c r="I7" s="22">
        <v>3.0099999999999998E-13</v>
      </c>
      <c r="J7" s="22">
        <v>1.1740506329113924E-14</v>
      </c>
      <c r="K7" s="14">
        <f t="shared" ref="K7:K38" si="6">K8*E7/E8</f>
        <v>20.448864327084213</v>
      </c>
      <c r="L7" s="14">
        <f t="shared" ref="L7:L61" si="7">L8*K7/K8</f>
        <v>24.009797519574857</v>
      </c>
      <c r="M7" s="14">
        <f t="shared" ref="M7:M61" si="8">M8*K7/K8</f>
        <v>22.693752468368192</v>
      </c>
      <c r="N7" s="22">
        <v>9.6189999999999998E-2</v>
      </c>
      <c r="O7" s="14">
        <f t="shared" ref="O7:O38" si="9">O8*F7/F8</f>
        <v>18.067885993135562</v>
      </c>
      <c r="Q7" s="49">
        <f t="shared" ref="Q7:Q61" si="10">I$5*((J7/J$5)/(N7/N$5))*((O7/O$5)/(K7/K$5))</f>
        <v>2.6653169432916082E-13</v>
      </c>
      <c r="R7" s="8">
        <f t="shared" ref="R7:R62" si="11">Q7/I7</f>
        <v>0.88548735657528521</v>
      </c>
      <c r="S7" s="8">
        <f>R7/R$5</f>
        <v>0.96825573348316019</v>
      </c>
      <c r="T7" s="50">
        <f>S7*I7</f>
        <v>2.9144497577843119E-13</v>
      </c>
      <c r="U7" s="57">
        <f t="shared" ref="U7:U62" si="12">I$5*((J7/J$5)/(N7/N$5))*((O7/O$5)/(L7/L$5))</f>
        <v>2.6653169432916077E-13</v>
      </c>
      <c r="V7" s="8">
        <f t="shared" ref="V7:V62" si="13">U7/I7</f>
        <v>0.88548735657528499</v>
      </c>
      <c r="W7" s="8">
        <f>V7/V$5</f>
        <v>0.96825573348315996</v>
      </c>
      <c r="X7" s="50">
        <f>W7*I7</f>
        <v>2.9144497577843114E-13</v>
      </c>
      <c r="Y7" s="57">
        <f t="shared" ref="Y7:Y62" si="14">I$5*((J7/J$5)/(N7/N$5))*((O7/O$5)/(M7/M$5))</f>
        <v>2.6653169432916092E-13</v>
      </c>
      <c r="Z7" s="8">
        <f t="shared" ref="Z7:Z62" si="15">Y7/I7</f>
        <v>0.88548735657528554</v>
      </c>
      <c r="AA7" s="8">
        <f>Z7/Z$5</f>
        <v>0.96825573348316052</v>
      </c>
      <c r="AB7" s="50">
        <f>AA7*I7</f>
        <v>2.9144497577843129E-13</v>
      </c>
      <c r="AC7" s="49">
        <f t="shared" ref="AC7:AC62" si="16">I$5*((J7/J$5)/(N7/N$5))</f>
        <v>3.5891995752115357E-13</v>
      </c>
      <c r="AD7" s="8">
        <f t="shared" ref="AD7:AD62" si="17">AC7/I7</f>
        <v>1.1924251080436996</v>
      </c>
      <c r="AE7" s="8">
        <f>AD7/AD$5</f>
        <v>1.30677165982571</v>
      </c>
      <c r="AF7" s="50">
        <f>AE7*I7</f>
        <v>3.9333826960753868E-13</v>
      </c>
    </row>
    <row r="8" spans="1:32" s="22" customFormat="1">
      <c r="A8" s="22">
        <f t="shared" si="5"/>
        <v>1937</v>
      </c>
      <c r="B8" s="23"/>
      <c r="C8" s="24">
        <v>2.8699999999999999E-13</v>
      </c>
      <c r="D8" s="25"/>
      <c r="E8" s="22">
        <v>0.22500000000000001</v>
      </c>
      <c r="F8" s="22">
        <v>0.185</v>
      </c>
      <c r="I8" s="22">
        <v>3.0300000000000002E-13</v>
      </c>
      <c r="J8" s="22">
        <v>1.2050632911392405E-14</v>
      </c>
      <c r="K8" s="14">
        <f t="shared" si="6"/>
        <v>20.632262213425776</v>
      </c>
      <c r="L8" s="14">
        <f t="shared" si="7"/>
        <v>24.225132026476874</v>
      </c>
      <c r="M8" s="14">
        <f t="shared" si="8"/>
        <v>22.897283880640554</v>
      </c>
      <c r="N8" s="22">
        <v>9.9650000000000002E-2</v>
      </c>
      <c r="O8" s="14">
        <f t="shared" si="9"/>
        <v>17.970746821129456</v>
      </c>
      <c r="Q8" s="49">
        <f t="shared" si="10"/>
        <v>2.6031886437326793E-13</v>
      </c>
      <c r="R8" s="8">
        <f t="shared" si="11"/>
        <v>0.85913816624840889</v>
      </c>
      <c r="S8" s="8">
        <f t="shared" ref="S8:S71" si="18">R8/R$5</f>
        <v>0.93944362858161734</v>
      </c>
      <c r="T8" s="50">
        <f t="shared" ref="T8:T71" si="19">S8*I8</f>
        <v>2.8465141946023009E-13</v>
      </c>
      <c r="U8" s="57">
        <f t="shared" si="12"/>
        <v>2.6031886437326793E-13</v>
      </c>
      <c r="V8" s="8">
        <f t="shared" si="13"/>
        <v>0.85913816624840889</v>
      </c>
      <c r="W8" s="8">
        <f t="shared" ref="W8:W71" si="20">V8/V$5</f>
        <v>0.93944362858161734</v>
      </c>
      <c r="X8" s="50">
        <f t="shared" ref="X8:X71" si="21">W8*I8</f>
        <v>2.8465141946023009E-13</v>
      </c>
      <c r="Y8" s="57">
        <f t="shared" si="14"/>
        <v>2.6031886437326808E-13</v>
      </c>
      <c r="Z8" s="8">
        <f t="shared" si="15"/>
        <v>0.85913816624840944</v>
      </c>
      <c r="AA8" s="8">
        <f t="shared" ref="AA8:AA71" si="22">Z8/Z$5</f>
        <v>0.9394436285816179</v>
      </c>
      <c r="AB8" s="50">
        <f t="shared" ref="AB8:AB71" si="23">AA8*I8</f>
        <v>2.8465141946023024E-13</v>
      </c>
      <c r="AC8" s="49">
        <f t="shared" si="16"/>
        <v>3.5560942219265751E-13</v>
      </c>
      <c r="AD8" s="8">
        <f t="shared" si="17"/>
        <v>1.1736284560813779</v>
      </c>
      <c r="AE8" s="8">
        <f t="shared" ref="AE8:AE71" si="24">AD8/AD$5</f>
        <v>1.2861725195373379</v>
      </c>
      <c r="AF8" s="50">
        <f t="shared" ref="AF8:AF71" si="25">AE8*I8</f>
        <v>3.8971027341981343E-13</v>
      </c>
    </row>
    <row r="9" spans="1:32" s="22" customFormat="1">
      <c r="A9" s="22">
        <f t="shared" si="5"/>
        <v>1938</v>
      </c>
      <c r="B9" s="23"/>
      <c r="C9" s="24">
        <v>2.6399999999999999E-13</v>
      </c>
      <c r="D9" s="25"/>
      <c r="E9" s="22">
        <v>0.22399999999999998</v>
      </c>
      <c r="F9" s="22">
        <v>0.16700000000000001</v>
      </c>
      <c r="I9" s="22">
        <v>3.07E-13</v>
      </c>
      <c r="J9" s="22">
        <v>1.1968354430379745E-14</v>
      </c>
      <c r="K9" s="14">
        <f t="shared" si="6"/>
        <v>20.540563270254992</v>
      </c>
      <c r="L9" s="14">
        <f t="shared" si="7"/>
        <v>24.117464773025862</v>
      </c>
      <c r="M9" s="14">
        <f t="shared" si="8"/>
        <v>22.795518174504373</v>
      </c>
      <c r="N9" s="22">
        <v>9.7579999999999986E-2</v>
      </c>
      <c r="O9" s="14">
        <f t="shared" si="9"/>
        <v>16.222241725019565</v>
      </c>
      <c r="Q9" s="49">
        <f t="shared" si="10"/>
        <v>2.3940099858195847E-13</v>
      </c>
      <c r="R9" s="8">
        <f t="shared" si="11"/>
        <v>0.7798078129705488</v>
      </c>
      <c r="S9" s="8">
        <f t="shared" si="18"/>
        <v>0.85269809932006879</v>
      </c>
      <c r="T9" s="50">
        <f t="shared" si="19"/>
        <v>2.6177831649126112E-13</v>
      </c>
      <c r="U9" s="57">
        <f t="shared" si="12"/>
        <v>2.3940099858195842E-13</v>
      </c>
      <c r="V9" s="8">
        <f t="shared" si="13"/>
        <v>0.77980781297054858</v>
      </c>
      <c r="W9" s="8">
        <f t="shared" si="20"/>
        <v>0.85269809932006857</v>
      </c>
      <c r="X9" s="50">
        <f t="shared" si="21"/>
        <v>2.6177831649126107E-13</v>
      </c>
      <c r="Y9" s="57">
        <f t="shared" si="14"/>
        <v>2.3940099858195857E-13</v>
      </c>
      <c r="Z9" s="8">
        <f t="shared" si="15"/>
        <v>0.77980781297054913</v>
      </c>
      <c r="AA9" s="8">
        <f t="shared" si="22"/>
        <v>0.85269809932006913</v>
      </c>
      <c r="AB9" s="50">
        <f t="shared" si="23"/>
        <v>2.6177831649126122E-13</v>
      </c>
      <c r="AC9" s="49">
        <f t="shared" si="16"/>
        <v>3.6067358242016316E-13</v>
      </c>
      <c r="AD9" s="8">
        <f t="shared" si="17"/>
        <v>1.17483251602659</v>
      </c>
      <c r="AE9" s="8">
        <f t="shared" si="24"/>
        <v>1.2874920417467586</v>
      </c>
      <c r="AF9" s="50">
        <f t="shared" si="25"/>
        <v>3.9526005681625487E-13</v>
      </c>
    </row>
    <row r="10" spans="1:32" s="22" customFormat="1">
      <c r="A10" s="22">
        <f t="shared" si="5"/>
        <v>1939</v>
      </c>
      <c r="B10" s="23"/>
      <c r="C10" s="24">
        <v>2.8999999999999998E-13</v>
      </c>
      <c r="D10" s="25"/>
      <c r="E10" s="22">
        <v>0.22600000000000001</v>
      </c>
      <c r="F10" s="22">
        <v>0.17899999999999999</v>
      </c>
      <c r="I10" s="22">
        <v>3.2700000000000002E-13</v>
      </c>
      <c r="J10" s="22">
        <v>1.2158227848101266E-14</v>
      </c>
      <c r="K10" s="14">
        <f t="shared" si="6"/>
        <v>20.723961156596555</v>
      </c>
      <c r="L10" s="14">
        <f t="shared" si="7"/>
        <v>24.33279927992788</v>
      </c>
      <c r="M10" s="14">
        <f t="shared" si="8"/>
        <v>22.999049586776735</v>
      </c>
      <c r="N10" s="22">
        <v>9.6189999999999998E-2</v>
      </c>
      <c r="O10" s="14">
        <f t="shared" si="9"/>
        <v>17.387911789092826</v>
      </c>
      <c r="Q10" s="49">
        <f t="shared" si="10"/>
        <v>2.6210108675061732E-13</v>
      </c>
      <c r="R10" s="8">
        <f t="shared" si="11"/>
        <v>0.80153237538415079</v>
      </c>
      <c r="S10" s="8">
        <f t="shared" si="18"/>
        <v>0.87645330255158382</v>
      </c>
      <c r="T10" s="50">
        <f t="shared" si="19"/>
        <v>2.8660022993436792E-13</v>
      </c>
      <c r="U10" s="57">
        <f t="shared" si="12"/>
        <v>2.6210108675061726E-13</v>
      </c>
      <c r="V10" s="8">
        <f t="shared" si="13"/>
        <v>0.80153237538415056</v>
      </c>
      <c r="W10" s="8">
        <f t="shared" si="20"/>
        <v>0.8764533025515836</v>
      </c>
      <c r="X10" s="50">
        <f t="shared" si="21"/>
        <v>2.8660022993436787E-13</v>
      </c>
      <c r="Y10" s="57">
        <f t="shared" si="14"/>
        <v>2.6210108675061737E-13</v>
      </c>
      <c r="Z10" s="8">
        <f t="shared" si="15"/>
        <v>0.8015323753841509</v>
      </c>
      <c r="AA10" s="8">
        <f t="shared" si="22"/>
        <v>0.87645330255158382</v>
      </c>
      <c r="AB10" s="50">
        <f t="shared" si="23"/>
        <v>2.8660022993436792E-13</v>
      </c>
      <c r="AC10" s="49">
        <f t="shared" si="16"/>
        <v>3.7169015547069332E-13</v>
      </c>
      <c r="AD10" s="8">
        <f t="shared" si="17"/>
        <v>1.1366671421122119</v>
      </c>
      <c r="AE10" s="8">
        <f t="shared" si="24"/>
        <v>1.2456668330342522</v>
      </c>
      <c r="AF10" s="50">
        <f t="shared" si="25"/>
        <v>4.0733305440220048E-13</v>
      </c>
    </row>
    <row r="11" spans="1:32" s="22" customFormat="1">
      <c r="A11" s="22">
        <f t="shared" si="5"/>
        <v>1940</v>
      </c>
      <c r="B11" s="23"/>
      <c r="C11" s="24">
        <v>3.3299999999999999E-13</v>
      </c>
      <c r="D11" s="25"/>
      <c r="E11" s="22">
        <v>0.22</v>
      </c>
      <c r="F11" s="22">
        <v>0.19700000000000001</v>
      </c>
      <c r="I11" s="22">
        <v>3.3599999999999998E-13</v>
      </c>
      <c r="J11" s="22">
        <v>1.2430379746835443E-14</v>
      </c>
      <c r="K11" s="14">
        <f t="shared" si="6"/>
        <v>20.173767497571866</v>
      </c>
      <c r="L11" s="14">
        <f t="shared" si="7"/>
        <v>23.686795759221827</v>
      </c>
      <c r="M11" s="14">
        <f t="shared" si="8"/>
        <v>22.388455349959653</v>
      </c>
      <c r="N11" s="22">
        <v>9.6890000000000004E-2</v>
      </c>
      <c r="O11" s="14">
        <f t="shared" si="9"/>
        <v>19.136416885202721</v>
      </c>
      <c r="Q11" s="49">
        <f t="shared" si="10"/>
        <v>3.0076885506480446E-13</v>
      </c>
      <c r="R11" s="8">
        <f t="shared" si="11"/>
        <v>0.89514540197858472</v>
      </c>
      <c r="S11" s="8">
        <f t="shared" si="18"/>
        <v>0.97881653682670333</v>
      </c>
      <c r="T11" s="50">
        <f t="shared" si="19"/>
        <v>3.2888235637377231E-13</v>
      </c>
      <c r="U11" s="57">
        <f t="shared" si="12"/>
        <v>3.0076885506480446E-13</v>
      </c>
      <c r="V11" s="8">
        <f t="shared" si="13"/>
        <v>0.89514540197858472</v>
      </c>
      <c r="W11" s="8">
        <f t="shared" si="20"/>
        <v>0.97881653682670333</v>
      </c>
      <c r="X11" s="50">
        <f t="shared" si="21"/>
        <v>3.2888235637377231E-13</v>
      </c>
      <c r="Y11" s="57">
        <f t="shared" si="14"/>
        <v>3.0076885506480451E-13</v>
      </c>
      <c r="Z11" s="8">
        <f t="shared" si="15"/>
        <v>0.89514540197858494</v>
      </c>
      <c r="AA11" s="8">
        <f t="shared" si="22"/>
        <v>0.97881653682670344</v>
      </c>
      <c r="AB11" s="50">
        <f t="shared" si="23"/>
        <v>3.2888235637377236E-13</v>
      </c>
      <c r="AC11" s="49">
        <f t="shared" si="16"/>
        <v>3.7726467835515803E-13</v>
      </c>
      <c r="AD11" s="8">
        <f t="shared" si="17"/>
        <v>1.1228115427236847</v>
      </c>
      <c r="AE11" s="8">
        <f t="shared" si="24"/>
        <v>1.2304825631889695</v>
      </c>
      <c r="AF11" s="50">
        <f t="shared" si="25"/>
        <v>4.1344214123149376E-13</v>
      </c>
    </row>
    <row r="12" spans="1:32" s="22" customFormat="1">
      <c r="A12" s="22">
        <f t="shared" si="5"/>
        <v>1941</v>
      </c>
      <c r="B12" s="23"/>
      <c r="C12" s="24">
        <v>3.5799999999999999E-13</v>
      </c>
      <c r="D12" s="25"/>
      <c r="E12" s="22">
        <v>0.20600000000000002</v>
      </c>
      <c r="F12" s="22">
        <v>0.20399999999999999</v>
      </c>
      <c r="I12" s="22">
        <v>3.3599999999999998E-13</v>
      </c>
      <c r="J12" s="22">
        <v>1.2759493670886076E-14</v>
      </c>
      <c r="K12" s="14">
        <f t="shared" si="6"/>
        <v>18.889982293180932</v>
      </c>
      <c r="L12" s="14">
        <f t="shared" si="7"/>
        <v>22.179454210907714</v>
      </c>
      <c r="M12" s="14">
        <f t="shared" si="8"/>
        <v>20.963735464053133</v>
      </c>
      <c r="N12" s="22">
        <v>0.1017</v>
      </c>
      <c r="O12" s="14">
        <f t="shared" si="9"/>
        <v>19.816391089245453</v>
      </c>
      <c r="Q12" s="49">
        <f t="shared" si="10"/>
        <v>3.2528146076425068E-13</v>
      </c>
      <c r="R12" s="8">
        <f t="shared" si="11"/>
        <v>0.968099585607889</v>
      </c>
      <c r="S12" s="8">
        <f t="shared" si="18"/>
        <v>1.0585899023706884</v>
      </c>
      <c r="T12" s="50">
        <f t="shared" si="19"/>
        <v>3.556862071965513E-13</v>
      </c>
      <c r="U12" s="57">
        <f t="shared" si="12"/>
        <v>3.2528146076425068E-13</v>
      </c>
      <c r="V12" s="8">
        <f t="shared" si="13"/>
        <v>0.968099585607889</v>
      </c>
      <c r="W12" s="8">
        <f t="shared" si="20"/>
        <v>1.0585899023706884</v>
      </c>
      <c r="X12" s="50">
        <f t="shared" si="21"/>
        <v>3.556862071965513E-13</v>
      </c>
      <c r="Y12" s="57">
        <f t="shared" si="14"/>
        <v>3.2528146076425074E-13</v>
      </c>
      <c r="Z12" s="8">
        <f t="shared" si="15"/>
        <v>0.96809958560788911</v>
      </c>
      <c r="AA12" s="8">
        <f t="shared" si="22"/>
        <v>1.0585899023706884</v>
      </c>
      <c r="AB12" s="50">
        <f t="shared" si="23"/>
        <v>3.556862071965513E-13</v>
      </c>
      <c r="AC12" s="49">
        <f t="shared" si="16"/>
        <v>3.68937833643918E-13</v>
      </c>
      <c r="AD12" s="8">
        <f t="shared" si="17"/>
        <v>1.098029266797375</v>
      </c>
      <c r="AE12" s="8">
        <f t="shared" si="24"/>
        <v>1.203323812817122</v>
      </c>
      <c r="AF12" s="50">
        <f t="shared" si="25"/>
        <v>4.0431680110655295E-13</v>
      </c>
    </row>
    <row r="13" spans="1:32" s="22" customFormat="1">
      <c r="A13" s="22">
        <f t="shared" si="5"/>
        <v>1942</v>
      </c>
      <c r="B13" s="23"/>
      <c r="C13" s="24">
        <v>3.56E-13</v>
      </c>
      <c r="D13" s="25"/>
      <c r="E13" s="22">
        <v>0.19600000000000001</v>
      </c>
      <c r="F13" s="22">
        <v>0.20200000000000001</v>
      </c>
      <c r="I13" s="22">
        <v>3.3599999999999998E-13</v>
      </c>
      <c r="J13" s="22">
        <v>1.3487341772151897E-14</v>
      </c>
      <c r="K13" s="14">
        <f t="shared" si="6"/>
        <v>17.97299286147312</v>
      </c>
      <c r="L13" s="14">
        <f t="shared" si="7"/>
        <v>21.10278167639763</v>
      </c>
      <c r="M13" s="14">
        <f t="shared" si="8"/>
        <v>19.946078402691334</v>
      </c>
      <c r="N13" s="22">
        <v>0.1128</v>
      </c>
      <c r="O13" s="14">
        <f t="shared" si="9"/>
        <v>19.622112745233245</v>
      </c>
      <c r="Q13" s="49">
        <f t="shared" si="10"/>
        <v>3.2262382649737546E-13</v>
      </c>
      <c r="R13" s="8">
        <f t="shared" si="11"/>
        <v>0.96018995981361754</v>
      </c>
      <c r="S13" s="8">
        <f t="shared" si="18"/>
        <v>1.0499409471166801</v>
      </c>
      <c r="T13" s="50">
        <f t="shared" si="19"/>
        <v>3.5278015823120448E-13</v>
      </c>
      <c r="U13" s="57">
        <f t="shared" si="12"/>
        <v>3.2262382649737546E-13</v>
      </c>
      <c r="V13" s="8">
        <f t="shared" si="13"/>
        <v>0.96018995981361754</v>
      </c>
      <c r="W13" s="8">
        <f t="shared" si="20"/>
        <v>1.0499409471166801</v>
      </c>
      <c r="X13" s="50">
        <f t="shared" si="21"/>
        <v>3.5278015823120448E-13</v>
      </c>
      <c r="Y13" s="57">
        <f t="shared" si="14"/>
        <v>3.2262382649737551E-13</v>
      </c>
      <c r="Z13" s="8">
        <f t="shared" si="15"/>
        <v>0.96018995981361766</v>
      </c>
      <c r="AA13" s="8">
        <f t="shared" si="22"/>
        <v>1.0499409471166801</v>
      </c>
      <c r="AB13" s="50">
        <f t="shared" si="23"/>
        <v>3.5278015823120448E-13</v>
      </c>
      <c r="AC13" s="49">
        <f t="shared" si="16"/>
        <v>3.516073690593195E-13</v>
      </c>
      <c r="AD13" s="8">
        <f t="shared" si="17"/>
        <v>1.0464505031527367</v>
      </c>
      <c r="AE13" s="8">
        <f t="shared" si="24"/>
        <v>1.1467989492219217</v>
      </c>
      <c r="AF13" s="50">
        <f t="shared" si="25"/>
        <v>3.8532444693856569E-13</v>
      </c>
    </row>
    <row r="14" spans="1:32" s="22" customFormat="1">
      <c r="A14" s="22">
        <f t="shared" si="5"/>
        <v>1943</v>
      </c>
      <c r="B14" s="23"/>
      <c r="C14" s="24">
        <v>3.9E-13</v>
      </c>
      <c r="D14" s="25"/>
      <c r="E14" s="22">
        <v>0.182</v>
      </c>
      <c r="F14" s="22">
        <v>0.215</v>
      </c>
      <c r="I14" s="22">
        <v>3.3599999999999998E-13</v>
      </c>
      <c r="J14" s="22">
        <v>1.3632911392405062E-14</v>
      </c>
      <c r="K14" s="14">
        <f t="shared" si="6"/>
        <v>16.689207657082182</v>
      </c>
      <c r="L14" s="14">
        <f t="shared" si="7"/>
        <v>19.595440128083514</v>
      </c>
      <c r="M14" s="14">
        <f t="shared" si="8"/>
        <v>18.521358516784808</v>
      </c>
      <c r="N14" s="22">
        <v>0.1197</v>
      </c>
      <c r="O14" s="14">
        <f t="shared" si="9"/>
        <v>20.884921981312612</v>
      </c>
      <c r="Q14" s="49">
        <f t="shared" si="10"/>
        <v>3.5224546477286124E-13</v>
      </c>
      <c r="R14" s="8">
        <f t="shared" si="11"/>
        <v>1.0483495975382775</v>
      </c>
      <c r="S14" s="8">
        <f t="shared" si="18"/>
        <v>1.1463410527250122</v>
      </c>
      <c r="T14" s="50">
        <f t="shared" si="19"/>
        <v>3.8517059371560405E-13</v>
      </c>
      <c r="U14" s="57">
        <f t="shared" si="12"/>
        <v>3.5224546477286124E-13</v>
      </c>
      <c r="V14" s="8">
        <f t="shared" si="13"/>
        <v>1.0483495975382775</v>
      </c>
      <c r="W14" s="8">
        <f t="shared" si="20"/>
        <v>1.1463410527250122</v>
      </c>
      <c r="X14" s="50">
        <f t="shared" si="21"/>
        <v>3.8517059371560405E-13</v>
      </c>
      <c r="Y14" s="57">
        <f t="shared" si="14"/>
        <v>3.5224546477286134E-13</v>
      </c>
      <c r="Z14" s="8">
        <f t="shared" si="15"/>
        <v>1.0483495975382779</v>
      </c>
      <c r="AA14" s="8">
        <f t="shared" si="22"/>
        <v>1.1463410527250126</v>
      </c>
      <c r="AB14" s="50">
        <f t="shared" si="23"/>
        <v>3.851705937156042E-13</v>
      </c>
      <c r="AC14" s="49">
        <f t="shared" si="16"/>
        <v>3.3491543809149704E-13</v>
      </c>
      <c r="AD14" s="8">
        <f t="shared" si="17"/>
        <v>0.99677213717707458</v>
      </c>
      <c r="AE14" s="8">
        <f t="shared" si="24"/>
        <v>1.0923567202504516</v>
      </c>
      <c r="AF14" s="50">
        <f t="shared" si="25"/>
        <v>3.6703185800415171E-13</v>
      </c>
    </row>
    <row r="15" spans="1:32" s="22" customFormat="1">
      <c r="A15" s="22">
        <f t="shared" si="5"/>
        <v>1944</v>
      </c>
      <c r="B15" s="23"/>
      <c r="C15" s="24">
        <v>4.1000000000000002E-13</v>
      </c>
      <c r="D15" s="25"/>
      <c r="E15" s="22">
        <v>0.188</v>
      </c>
      <c r="F15" s="22">
        <v>0.23899999999999999</v>
      </c>
      <c r="I15" s="22">
        <v>3.3599999999999998E-13</v>
      </c>
      <c r="J15" s="22">
        <v>1.3594936708860758E-14</v>
      </c>
      <c r="K15" s="14">
        <f t="shared" si="6"/>
        <v>17.239401316106868</v>
      </c>
      <c r="L15" s="14">
        <f t="shared" si="7"/>
        <v>20.241443648789559</v>
      </c>
      <c r="M15" s="14">
        <f t="shared" si="8"/>
        <v>19.131952753601887</v>
      </c>
      <c r="N15" s="22">
        <v>0.12179999999999999</v>
      </c>
      <c r="O15" s="14">
        <f t="shared" si="9"/>
        <v>23.216262109459137</v>
      </c>
      <c r="Q15" s="49">
        <f t="shared" si="10"/>
        <v>3.7149573325989444E-13</v>
      </c>
      <c r="R15" s="8">
        <f t="shared" si="11"/>
        <v>1.1056420632734953</v>
      </c>
      <c r="S15" s="8">
        <f t="shared" si="18"/>
        <v>1.2089887664631991</v>
      </c>
      <c r="T15" s="50">
        <f t="shared" si="19"/>
        <v>4.0622022553163489E-13</v>
      </c>
      <c r="U15" s="57">
        <f t="shared" si="12"/>
        <v>3.7149573325989444E-13</v>
      </c>
      <c r="V15" s="8">
        <f t="shared" si="13"/>
        <v>1.1056420632734953</v>
      </c>
      <c r="W15" s="8">
        <f t="shared" si="20"/>
        <v>1.2089887664631991</v>
      </c>
      <c r="X15" s="50">
        <f t="shared" si="21"/>
        <v>4.0622022553163489E-13</v>
      </c>
      <c r="Y15" s="57">
        <f t="shared" si="14"/>
        <v>3.7149573325989449E-13</v>
      </c>
      <c r="Z15" s="8">
        <f t="shared" si="15"/>
        <v>1.1056420632734956</v>
      </c>
      <c r="AA15" s="8">
        <f t="shared" si="22"/>
        <v>1.2089887664631991</v>
      </c>
      <c r="AB15" s="50">
        <f t="shared" si="23"/>
        <v>4.0622022553163489E-13</v>
      </c>
      <c r="AC15" s="49">
        <f t="shared" si="16"/>
        <v>3.2822420659375135E-13</v>
      </c>
      <c r="AD15" s="8">
        <f t="shared" si="17"/>
        <v>0.97685775771949812</v>
      </c>
      <c r="AE15" s="8">
        <f t="shared" si="24"/>
        <v>1.0705326689765979</v>
      </c>
      <c r="AF15" s="50">
        <f t="shared" si="25"/>
        <v>3.596989767761369E-13</v>
      </c>
    </row>
    <row r="16" spans="1:32" s="22" customFormat="1">
      <c r="A16" s="22">
        <f t="shared" si="5"/>
        <v>1945</v>
      </c>
      <c r="B16" s="23"/>
      <c r="C16" s="24">
        <v>4.7699999999999999E-13</v>
      </c>
      <c r="D16" s="25"/>
      <c r="E16" s="22">
        <v>0.17899999999999999</v>
      </c>
      <c r="F16" s="22">
        <v>0.22700000000000001</v>
      </c>
      <c r="I16" s="22">
        <v>3.3599999999999998E-13</v>
      </c>
      <c r="J16" s="22">
        <v>1.6278481012658226E-14</v>
      </c>
      <c r="K16" s="14">
        <f t="shared" si="6"/>
        <v>16.414110827569836</v>
      </c>
      <c r="L16" s="14">
        <f t="shared" si="7"/>
        <v>19.272438367730484</v>
      </c>
      <c r="M16" s="14">
        <f t="shared" si="8"/>
        <v>18.216061398376265</v>
      </c>
      <c r="N16" s="22">
        <v>0.1246</v>
      </c>
      <c r="O16" s="14">
        <f t="shared" si="9"/>
        <v>22.05059204538588</v>
      </c>
      <c r="Q16" s="49">
        <f t="shared" si="10"/>
        <v>4.3376303388562073E-13</v>
      </c>
      <c r="R16" s="8">
        <f t="shared" si="11"/>
        <v>1.2909614103738714</v>
      </c>
      <c r="S16" s="8">
        <f t="shared" si="18"/>
        <v>1.4116303050722701</v>
      </c>
      <c r="T16" s="50">
        <f t="shared" si="19"/>
        <v>4.7430778250428274E-13</v>
      </c>
      <c r="U16" s="57">
        <f t="shared" si="12"/>
        <v>4.3376303388562073E-13</v>
      </c>
      <c r="V16" s="8">
        <f t="shared" si="13"/>
        <v>1.2909614103738714</v>
      </c>
      <c r="W16" s="8">
        <f t="shared" si="20"/>
        <v>1.4116303050722701</v>
      </c>
      <c r="X16" s="50">
        <f t="shared" si="21"/>
        <v>4.7430778250428274E-13</v>
      </c>
      <c r="Y16" s="57">
        <f t="shared" si="14"/>
        <v>4.3376303388562078E-13</v>
      </c>
      <c r="Z16" s="8">
        <f t="shared" si="15"/>
        <v>1.2909614103738714</v>
      </c>
      <c r="AA16" s="8">
        <f t="shared" si="22"/>
        <v>1.4116303050722698</v>
      </c>
      <c r="AB16" s="50">
        <f t="shared" si="23"/>
        <v>4.7430778250428264E-13</v>
      </c>
      <c r="AC16" s="49">
        <f t="shared" si="16"/>
        <v>3.8418158184380641E-13</v>
      </c>
      <c r="AD16" s="8">
        <f t="shared" si="17"/>
        <v>1.1433975650113286</v>
      </c>
      <c r="AE16" s="8">
        <f t="shared" si="24"/>
        <v>1.2530426638884322</v>
      </c>
      <c r="AF16" s="50">
        <f t="shared" si="25"/>
        <v>4.2102233506651319E-13</v>
      </c>
    </row>
    <row r="17" spans="1:32" s="22" customFormat="1">
      <c r="A17" s="22">
        <f t="shared" si="5"/>
        <v>1946</v>
      </c>
      <c r="B17" s="23"/>
      <c r="C17" s="24">
        <v>4.3600000000000001E-13</v>
      </c>
      <c r="D17" s="25"/>
      <c r="E17" s="22">
        <v>0.188</v>
      </c>
      <c r="F17" s="22">
        <v>0.2</v>
      </c>
      <c r="I17" s="22">
        <v>3.3599999999999998E-13</v>
      </c>
      <c r="J17" s="22">
        <v>1.9151898734177211E-14</v>
      </c>
      <c r="K17" s="14">
        <f t="shared" si="6"/>
        <v>17.239401316106868</v>
      </c>
      <c r="L17" s="14">
        <f t="shared" si="7"/>
        <v>20.241443648789559</v>
      </c>
      <c r="M17" s="14">
        <f t="shared" si="8"/>
        <v>19.131952753601887</v>
      </c>
      <c r="N17" s="22">
        <v>0.13489999999999999</v>
      </c>
      <c r="O17" s="14">
        <f t="shared" si="9"/>
        <v>19.427834401221041</v>
      </c>
      <c r="Q17" s="49">
        <f t="shared" si="10"/>
        <v>3.954175219797289E-13</v>
      </c>
      <c r="R17" s="8">
        <f t="shared" si="11"/>
        <v>1.1768378630349074</v>
      </c>
      <c r="S17" s="8">
        <f t="shared" si="18"/>
        <v>1.2868393882784246</v>
      </c>
      <c r="T17" s="50">
        <f t="shared" si="19"/>
        <v>4.3237803446155064E-13</v>
      </c>
      <c r="U17" s="57">
        <f t="shared" si="12"/>
        <v>3.954175219797289E-13</v>
      </c>
      <c r="V17" s="8">
        <f t="shared" si="13"/>
        <v>1.1768378630349074</v>
      </c>
      <c r="W17" s="8">
        <f t="shared" si="20"/>
        <v>1.2868393882784246</v>
      </c>
      <c r="X17" s="50">
        <f t="shared" si="21"/>
        <v>4.3237803446155064E-13</v>
      </c>
      <c r="Y17" s="57">
        <f t="shared" si="14"/>
        <v>3.95417521979729E-13</v>
      </c>
      <c r="Z17" s="8">
        <f t="shared" si="15"/>
        <v>1.1768378630349079</v>
      </c>
      <c r="AA17" s="8">
        <f t="shared" si="22"/>
        <v>1.2868393882784248</v>
      </c>
      <c r="AB17" s="50">
        <f t="shared" si="23"/>
        <v>4.3237803446155074E-13</v>
      </c>
      <c r="AC17" s="49">
        <f t="shared" si="16"/>
        <v>4.1748472731300304E-13</v>
      </c>
      <c r="AD17" s="8">
        <f t="shared" si="17"/>
        <v>1.2425140693839376</v>
      </c>
      <c r="AE17" s="8">
        <f t="shared" si="24"/>
        <v>1.3616638578413274</v>
      </c>
      <c r="AF17" s="50">
        <f t="shared" si="25"/>
        <v>4.5751905623468596E-13</v>
      </c>
    </row>
    <row r="18" spans="1:32" s="22" customFormat="1">
      <c r="A18" s="22">
        <f t="shared" si="5"/>
        <v>1947</v>
      </c>
      <c r="B18" s="23"/>
      <c r="C18" s="24">
        <v>4.1899999999999998E-13</v>
      </c>
      <c r="D18" s="25"/>
      <c r="E18" s="22">
        <v>0.20499999999999999</v>
      </c>
      <c r="F18" s="22">
        <v>0.21099999999999999</v>
      </c>
      <c r="I18" s="22">
        <v>3.3599999999999998E-13</v>
      </c>
      <c r="J18" s="22">
        <v>2.1746835443037973E-14</v>
      </c>
      <c r="K18" s="14">
        <f t="shared" si="6"/>
        <v>18.798283350010148</v>
      </c>
      <c r="L18" s="14">
        <f t="shared" si="7"/>
        <v>22.071786957456702</v>
      </c>
      <c r="M18" s="14">
        <f t="shared" si="8"/>
        <v>20.861969757916949</v>
      </c>
      <c r="N18" s="22">
        <v>0.15429999999999999</v>
      </c>
      <c r="O18" s="14">
        <f t="shared" si="9"/>
        <v>20.4963652932882</v>
      </c>
      <c r="Q18" s="49">
        <f t="shared" si="10"/>
        <v>3.7978920212172653E-13</v>
      </c>
      <c r="R18" s="8">
        <f t="shared" si="11"/>
        <v>1.1303250063146624</v>
      </c>
      <c r="S18" s="8">
        <f t="shared" si="18"/>
        <v>1.2359788764194628</v>
      </c>
      <c r="T18" s="50">
        <f t="shared" si="19"/>
        <v>4.152889024769395E-13</v>
      </c>
      <c r="U18" s="57">
        <f t="shared" si="12"/>
        <v>3.7978920212172648E-13</v>
      </c>
      <c r="V18" s="8">
        <f t="shared" si="13"/>
        <v>1.1303250063146622</v>
      </c>
      <c r="W18" s="8">
        <f t="shared" si="20"/>
        <v>1.2359788764194624</v>
      </c>
      <c r="X18" s="50">
        <f t="shared" si="21"/>
        <v>4.1528890247693934E-13</v>
      </c>
      <c r="Y18" s="57">
        <f t="shared" si="14"/>
        <v>3.7978920212172658E-13</v>
      </c>
      <c r="Z18" s="8">
        <f t="shared" si="15"/>
        <v>1.1303250063146626</v>
      </c>
      <c r="AA18" s="8">
        <f t="shared" si="22"/>
        <v>1.2359788764194628</v>
      </c>
      <c r="AB18" s="50">
        <f t="shared" si="23"/>
        <v>4.152889024769395E-13</v>
      </c>
      <c r="AC18" s="49">
        <f t="shared" si="16"/>
        <v>4.1444876282652284E-13</v>
      </c>
      <c r="AD18" s="8">
        <f t="shared" si="17"/>
        <v>1.2334784607932228</v>
      </c>
      <c r="AE18" s="8">
        <f t="shared" si="24"/>
        <v>1.3517617875511476</v>
      </c>
      <c r="AF18" s="50">
        <f t="shared" si="25"/>
        <v>4.5419196061718559E-13</v>
      </c>
    </row>
    <row r="19" spans="1:32" s="22" customFormat="1">
      <c r="A19" s="22">
        <f t="shared" si="5"/>
        <v>1948</v>
      </c>
      <c r="B19" s="23"/>
      <c r="C19" s="24">
        <v>4.5799999999999997E-13</v>
      </c>
      <c r="D19" s="25"/>
      <c r="E19" s="22">
        <v>0.20499999999999999</v>
      </c>
      <c r="F19" s="22">
        <v>0.22</v>
      </c>
      <c r="I19" s="22">
        <v>3.3599999999999998E-13</v>
      </c>
      <c r="J19" s="22">
        <v>2.459493670886076E-14</v>
      </c>
      <c r="K19" s="14">
        <f t="shared" si="6"/>
        <v>18.798283350010148</v>
      </c>
      <c r="L19" s="14">
        <f t="shared" si="7"/>
        <v>22.071786957456702</v>
      </c>
      <c r="M19" s="14">
        <f t="shared" si="8"/>
        <v>20.861969757916949</v>
      </c>
      <c r="N19" s="22">
        <v>0.1668</v>
      </c>
      <c r="O19" s="14">
        <f t="shared" si="9"/>
        <v>21.370617841343147</v>
      </c>
      <c r="Q19" s="49">
        <f t="shared" si="10"/>
        <v>4.1428800519935542E-13</v>
      </c>
      <c r="R19" s="8">
        <f t="shared" si="11"/>
        <v>1.2330000154742722</v>
      </c>
      <c r="S19" s="8">
        <f t="shared" si="18"/>
        <v>1.3482511359452549</v>
      </c>
      <c r="T19" s="50">
        <f t="shared" si="19"/>
        <v>4.5301238167760564E-13</v>
      </c>
      <c r="U19" s="57">
        <f t="shared" si="12"/>
        <v>4.1428800519935537E-13</v>
      </c>
      <c r="V19" s="8">
        <f t="shared" si="13"/>
        <v>1.233000015474272</v>
      </c>
      <c r="W19" s="8">
        <f t="shared" si="20"/>
        <v>1.3482511359452547</v>
      </c>
      <c r="X19" s="50">
        <f t="shared" si="21"/>
        <v>4.5301238167760554E-13</v>
      </c>
      <c r="Y19" s="57">
        <f t="shared" si="14"/>
        <v>4.1428800519935547E-13</v>
      </c>
      <c r="Z19" s="8">
        <f t="shared" si="15"/>
        <v>1.2330000154742724</v>
      </c>
      <c r="AA19" s="8">
        <f t="shared" si="22"/>
        <v>1.3482511359452551</v>
      </c>
      <c r="AB19" s="50">
        <f t="shared" si="23"/>
        <v>4.5301238167760569E-13</v>
      </c>
      <c r="AC19" s="49">
        <f t="shared" si="16"/>
        <v>4.3360109314526061E-13</v>
      </c>
      <c r="AD19" s="8">
        <f t="shared" si="17"/>
        <v>1.2904794438847043</v>
      </c>
      <c r="AE19" s="8">
        <f t="shared" si="24"/>
        <v>1.4142288295344858</v>
      </c>
      <c r="AF19" s="50">
        <f t="shared" si="25"/>
        <v>4.751808867235872E-13</v>
      </c>
    </row>
    <row r="20" spans="1:32" s="22" customFormat="1">
      <c r="A20" s="22">
        <f t="shared" si="5"/>
        <v>1949</v>
      </c>
      <c r="B20" s="23"/>
      <c r="C20" s="24">
        <v>6.4699999999999997E-13</v>
      </c>
      <c r="D20" s="25"/>
      <c r="E20" s="22">
        <v>0.19899999999999998</v>
      </c>
      <c r="F20" s="22">
        <v>0.22800000000000001</v>
      </c>
      <c r="I20" s="22">
        <v>3.3599999999999998E-13</v>
      </c>
      <c r="J20" s="22">
        <v>3.2240506329113925E-14</v>
      </c>
      <c r="K20" s="14">
        <f t="shared" si="6"/>
        <v>18.248089690985463</v>
      </c>
      <c r="L20" s="14">
        <f t="shared" si="7"/>
        <v>21.425783436750653</v>
      </c>
      <c r="M20" s="14">
        <f t="shared" si="8"/>
        <v>20.25137552109987</v>
      </c>
      <c r="N20" s="22">
        <v>0.16469999999999999</v>
      </c>
      <c r="O20" s="14">
        <f t="shared" si="9"/>
        <v>22.147731217391989</v>
      </c>
      <c r="Q20" s="49">
        <f t="shared" si="10"/>
        <v>5.8718357903731536E-13</v>
      </c>
      <c r="R20" s="8">
        <f t="shared" si="11"/>
        <v>1.7475701757062958</v>
      </c>
      <c r="S20" s="8">
        <f t="shared" si="18"/>
        <v>1.9109192578831935</v>
      </c>
      <c r="T20" s="50">
        <f t="shared" si="19"/>
        <v>6.4206887064875297E-13</v>
      </c>
      <c r="U20" s="57">
        <f t="shared" si="12"/>
        <v>5.8718357903731536E-13</v>
      </c>
      <c r="V20" s="8">
        <f t="shared" si="13"/>
        <v>1.7475701757062958</v>
      </c>
      <c r="W20" s="8">
        <f t="shared" si="20"/>
        <v>1.9109192578831935</v>
      </c>
      <c r="X20" s="50">
        <f t="shared" si="21"/>
        <v>6.4206887064875297E-13</v>
      </c>
      <c r="Y20" s="57">
        <f t="shared" si="14"/>
        <v>5.8718357903731567E-13</v>
      </c>
      <c r="Z20" s="8">
        <f t="shared" si="15"/>
        <v>1.7475701757062967</v>
      </c>
      <c r="AA20" s="8">
        <f t="shared" si="22"/>
        <v>1.9109192578831942</v>
      </c>
      <c r="AB20" s="50">
        <f t="shared" si="23"/>
        <v>6.4206887064875317E-13</v>
      </c>
      <c r="AC20" s="49">
        <f t="shared" si="16"/>
        <v>5.7563734299857804E-13</v>
      </c>
      <c r="AD20" s="8">
        <f t="shared" si="17"/>
        <v>1.7132063779719586</v>
      </c>
      <c r="AE20" s="8">
        <f t="shared" si="24"/>
        <v>1.8774927893285884</v>
      </c>
      <c r="AF20" s="50">
        <f t="shared" si="25"/>
        <v>6.308375772144057E-13</v>
      </c>
    </row>
    <row r="21" spans="1:32" s="22" customFormat="1">
      <c r="A21" s="22">
        <f t="shared" si="5"/>
        <v>1950</v>
      </c>
      <c r="B21" s="23"/>
      <c r="C21" s="24">
        <v>7.9199999999999996E-13</v>
      </c>
      <c r="D21" s="25"/>
      <c r="E21" s="22">
        <v>0.20800000000000002</v>
      </c>
      <c r="F21" s="22">
        <v>0.23499999999999999</v>
      </c>
      <c r="I21" s="22">
        <v>3.91E-13</v>
      </c>
      <c r="J21" s="22">
        <v>4.0474683544303794E-14</v>
      </c>
      <c r="K21" s="14">
        <f t="shared" si="6"/>
        <v>19.073380179522495</v>
      </c>
      <c r="L21" s="14">
        <f t="shared" si="7"/>
        <v>22.394788717809728</v>
      </c>
      <c r="M21" s="14">
        <f t="shared" si="8"/>
        <v>21.167266876325495</v>
      </c>
      <c r="N21" s="22">
        <v>0.1668</v>
      </c>
      <c r="O21" s="14">
        <f t="shared" si="9"/>
        <v>22.827705421434725</v>
      </c>
      <c r="Q21" s="49">
        <f t="shared" si="10"/>
        <v>7.1775432732692047E-13</v>
      </c>
      <c r="R21" s="8">
        <f t="shared" si="11"/>
        <v>1.8356888166928913</v>
      </c>
      <c r="S21" s="8">
        <f t="shared" si="18"/>
        <v>2.007274534701605</v>
      </c>
      <c r="T21" s="50">
        <f t="shared" si="19"/>
        <v>7.8484434306832754E-13</v>
      </c>
      <c r="U21" s="57">
        <f t="shared" si="12"/>
        <v>7.1775432732692058E-13</v>
      </c>
      <c r="V21" s="8">
        <f t="shared" si="13"/>
        <v>1.8356888166928915</v>
      </c>
      <c r="W21" s="8">
        <f t="shared" si="20"/>
        <v>2.0072745347016054</v>
      </c>
      <c r="X21" s="50">
        <f t="shared" si="21"/>
        <v>7.8484434306832775E-13</v>
      </c>
      <c r="Y21" s="57">
        <f t="shared" si="14"/>
        <v>7.1775432732692058E-13</v>
      </c>
      <c r="Z21" s="8">
        <f t="shared" si="15"/>
        <v>1.8356888166928915</v>
      </c>
      <c r="AA21" s="8">
        <f t="shared" si="22"/>
        <v>2.007274534701605</v>
      </c>
      <c r="AB21" s="50">
        <f t="shared" si="23"/>
        <v>7.8484434306832754E-13</v>
      </c>
      <c r="AC21" s="49">
        <f t="shared" si="16"/>
        <v>7.1355609641377805E-13</v>
      </c>
      <c r="AD21" s="8">
        <f t="shared" si="17"/>
        <v>1.824951653232169</v>
      </c>
      <c r="AE21" s="8">
        <f t="shared" si="24"/>
        <v>1.9999537789911062</v>
      </c>
      <c r="AF21" s="50">
        <f t="shared" si="25"/>
        <v>7.8198192758552251E-13</v>
      </c>
    </row>
    <row r="22" spans="1:32" s="22" customFormat="1">
      <c r="A22" s="22">
        <f t="shared" si="5"/>
        <v>1951</v>
      </c>
      <c r="B22" s="23"/>
      <c r="C22" s="24">
        <v>9.9000000000000002E-13</v>
      </c>
      <c r="D22" s="25"/>
      <c r="E22" s="22">
        <v>0.21199999999999999</v>
      </c>
      <c r="F22" s="22">
        <v>0.23499999999999999</v>
      </c>
      <c r="I22" s="22">
        <v>4.9999999999999999E-13</v>
      </c>
      <c r="J22" s="22">
        <v>5.5322784810126571E-14</v>
      </c>
      <c r="K22" s="14">
        <f t="shared" si="6"/>
        <v>19.440175952205617</v>
      </c>
      <c r="L22" s="14">
        <f t="shared" si="7"/>
        <v>22.82545773161376</v>
      </c>
      <c r="M22" s="14">
        <f t="shared" si="8"/>
        <v>21.574329700870212</v>
      </c>
      <c r="N22" s="22">
        <v>0.17989999999999998</v>
      </c>
      <c r="O22" s="14">
        <f t="shared" si="9"/>
        <v>22.827705421434725</v>
      </c>
      <c r="Q22" s="49">
        <f t="shared" si="10"/>
        <v>8.9245997487073152E-13</v>
      </c>
      <c r="R22" s="8">
        <f t="shared" si="11"/>
        <v>1.7849199497414632</v>
      </c>
      <c r="S22" s="8">
        <f t="shared" si="18"/>
        <v>1.9517601943294458</v>
      </c>
      <c r="T22" s="50">
        <f t="shared" si="19"/>
        <v>9.7588009716472287E-13</v>
      </c>
      <c r="U22" s="57">
        <f t="shared" si="12"/>
        <v>8.9245997487073152E-13</v>
      </c>
      <c r="V22" s="8">
        <f t="shared" si="13"/>
        <v>1.7849199497414632</v>
      </c>
      <c r="W22" s="8">
        <f t="shared" si="20"/>
        <v>1.9517601943294458</v>
      </c>
      <c r="X22" s="50">
        <f t="shared" si="21"/>
        <v>9.7588009716472287E-13</v>
      </c>
      <c r="Y22" s="57">
        <f t="shared" si="14"/>
        <v>8.9245997487073173E-13</v>
      </c>
      <c r="Z22" s="8">
        <f t="shared" si="15"/>
        <v>1.7849199497414634</v>
      </c>
      <c r="AA22" s="8">
        <f t="shared" si="22"/>
        <v>1.9517601943294458</v>
      </c>
      <c r="AB22" s="50">
        <f t="shared" si="23"/>
        <v>9.7588009716472287E-13</v>
      </c>
      <c r="AC22" s="49">
        <f t="shared" si="16"/>
        <v>9.0430217491515122E-13</v>
      </c>
      <c r="AD22" s="8">
        <f t="shared" si="17"/>
        <v>1.8086043498303024</v>
      </c>
      <c r="AE22" s="8">
        <f t="shared" si="24"/>
        <v>1.982038865378478</v>
      </c>
      <c r="AF22" s="50">
        <f t="shared" si="25"/>
        <v>9.9101943268923896E-13</v>
      </c>
    </row>
    <row r="23" spans="1:32" s="22" customFormat="1">
      <c r="A23" s="22">
        <f t="shared" si="5"/>
        <v>1952</v>
      </c>
      <c r="B23" s="23"/>
      <c r="C23" s="24">
        <v>1.1999999999999999E-12</v>
      </c>
      <c r="D23" s="25"/>
      <c r="E23" s="22">
        <v>0.20399999999999999</v>
      </c>
      <c r="F23" s="22">
        <v>0.249</v>
      </c>
      <c r="I23" s="22">
        <v>4.9999999999999999E-13</v>
      </c>
      <c r="J23" s="22">
        <v>6.2645569620253157E-14</v>
      </c>
      <c r="K23" s="14">
        <f t="shared" si="6"/>
        <v>18.706584406839369</v>
      </c>
      <c r="L23" s="14">
        <f t="shared" si="7"/>
        <v>21.964119704005697</v>
      </c>
      <c r="M23" s="14">
        <f t="shared" si="8"/>
        <v>20.760204051780772</v>
      </c>
      <c r="N23" s="22">
        <v>0.18340000000000001</v>
      </c>
      <c r="O23" s="14">
        <f t="shared" si="9"/>
        <v>24.187653829520201</v>
      </c>
      <c r="Q23" s="49">
        <f t="shared" si="10"/>
        <v>1.0915511399254393E-12</v>
      </c>
      <c r="R23" s="8">
        <f t="shared" si="11"/>
        <v>2.1831022798508788</v>
      </c>
      <c r="S23" s="8">
        <f t="shared" si="18"/>
        <v>2.3871614693868914</v>
      </c>
      <c r="T23" s="50">
        <f t="shared" si="19"/>
        <v>1.1935807346934457E-12</v>
      </c>
      <c r="U23" s="57">
        <f t="shared" si="12"/>
        <v>1.0915511399254393E-12</v>
      </c>
      <c r="V23" s="8">
        <f t="shared" si="13"/>
        <v>2.1831022798508788</v>
      </c>
      <c r="W23" s="8">
        <f t="shared" si="20"/>
        <v>2.3871614693868914</v>
      </c>
      <c r="X23" s="50">
        <f t="shared" si="21"/>
        <v>1.1935807346934457E-12</v>
      </c>
      <c r="Y23" s="57">
        <f t="shared" si="14"/>
        <v>1.0915511399254395E-12</v>
      </c>
      <c r="Z23" s="8">
        <f t="shared" si="15"/>
        <v>2.1831022798508792</v>
      </c>
      <c r="AA23" s="8">
        <f t="shared" si="22"/>
        <v>2.3871614693868914</v>
      </c>
      <c r="AB23" s="50">
        <f t="shared" si="23"/>
        <v>1.1935807346934457E-12</v>
      </c>
      <c r="AC23" s="49">
        <f t="shared" si="16"/>
        <v>1.0044578948897985E-12</v>
      </c>
      <c r="AD23" s="8">
        <f t="shared" si="17"/>
        <v>2.0089157897795968</v>
      </c>
      <c r="AE23" s="8">
        <f t="shared" si="24"/>
        <v>2.2015589938115876</v>
      </c>
      <c r="AF23" s="50">
        <f t="shared" si="25"/>
        <v>1.1007794969057938E-12</v>
      </c>
    </row>
    <row r="24" spans="1:32" s="22" customFormat="1">
      <c r="A24" s="22">
        <f t="shared" si="5"/>
        <v>1953</v>
      </c>
      <c r="B24" s="23"/>
      <c r="C24" s="24">
        <v>1.5000000000000001E-12</v>
      </c>
      <c r="D24" s="25"/>
      <c r="E24" s="22">
        <v>0.21299999999999999</v>
      </c>
      <c r="F24" s="22">
        <v>0.25700000000000001</v>
      </c>
      <c r="I24" s="22">
        <v>4.9999999999999999E-13</v>
      </c>
      <c r="J24" s="22">
        <v>7.9810126582278485E-14</v>
      </c>
      <c r="K24" s="14">
        <f t="shared" si="6"/>
        <v>19.531874895376401</v>
      </c>
      <c r="L24" s="14">
        <f t="shared" si="7"/>
        <v>22.933124985064772</v>
      </c>
      <c r="M24" s="14">
        <f t="shared" si="8"/>
        <v>21.676095407006397</v>
      </c>
      <c r="N24" s="22">
        <v>0.18479999999999999</v>
      </c>
      <c r="O24" s="14">
        <f t="shared" si="9"/>
        <v>24.964767205569043</v>
      </c>
      <c r="Q24" s="49">
        <f t="shared" si="10"/>
        <v>1.3642483251653996E-12</v>
      </c>
      <c r="R24" s="8">
        <f t="shared" si="11"/>
        <v>2.7284966503307992</v>
      </c>
      <c r="S24" s="8">
        <f t="shared" si="18"/>
        <v>2.9835350057285406</v>
      </c>
      <c r="T24" s="50">
        <f t="shared" si="19"/>
        <v>1.4917675028642702E-12</v>
      </c>
      <c r="U24" s="57">
        <f t="shared" si="12"/>
        <v>1.3642483251653996E-12</v>
      </c>
      <c r="V24" s="8">
        <f t="shared" si="13"/>
        <v>2.7284966503307992</v>
      </c>
      <c r="W24" s="8">
        <f t="shared" si="20"/>
        <v>2.9835350057285406</v>
      </c>
      <c r="X24" s="50">
        <f t="shared" si="21"/>
        <v>1.4917675028642702E-12</v>
      </c>
      <c r="Y24" s="57">
        <f t="shared" si="14"/>
        <v>1.3642483251653996E-12</v>
      </c>
      <c r="Z24" s="8">
        <f t="shared" si="15"/>
        <v>2.7284966503307992</v>
      </c>
      <c r="AA24" s="8">
        <f t="shared" si="22"/>
        <v>2.9835350057285401</v>
      </c>
      <c r="AB24" s="50">
        <f t="shared" si="23"/>
        <v>1.49176750286427E-12</v>
      </c>
      <c r="AC24" s="49">
        <f t="shared" si="16"/>
        <v>1.2699795804688181E-12</v>
      </c>
      <c r="AD24" s="8">
        <f t="shared" si="17"/>
        <v>2.5399591609376362</v>
      </c>
      <c r="AE24" s="8">
        <f t="shared" si="24"/>
        <v>2.7835262996712693</v>
      </c>
      <c r="AF24" s="50">
        <f t="shared" si="25"/>
        <v>1.3917631498356345E-12</v>
      </c>
    </row>
    <row r="25" spans="1:32" s="22" customFormat="1">
      <c r="A25" s="22">
        <f t="shared" si="5"/>
        <v>1954</v>
      </c>
      <c r="B25" s="23"/>
      <c r="C25" s="24">
        <v>1.48E-12</v>
      </c>
      <c r="D25" s="25"/>
      <c r="E25" s="22">
        <v>0.22899999999999998</v>
      </c>
      <c r="F25" s="22">
        <v>0.26400000000000001</v>
      </c>
      <c r="I25" s="22">
        <v>4.9999999999999999E-13</v>
      </c>
      <c r="J25" s="22">
        <v>8.2848101265822778E-14</v>
      </c>
      <c r="K25" s="14">
        <f t="shared" si="6"/>
        <v>20.999057986108898</v>
      </c>
      <c r="L25" s="14">
        <f t="shared" si="7"/>
        <v>24.655801040280902</v>
      </c>
      <c r="M25" s="14">
        <f t="shared" si="8"/>
        <v>23.304346705185278</v>
      </c>
      <c r="N25" s="22">
        <v>0.1862</v>
      </c>
      <c r="O25" s="14">
        <f t="shared" si="9"/>
        <v>25.644741409611779</v>
      </c>
      <c r="Q25" s="49">
        <f t="shared" si="10"/>
        <v>1.3429356538435014E-12</v>
      </c>
      <c r="R25" s="8">
        <f t="shared" si="11"/>
        <v>2.6858713076870031</v>
      </c>
      <c r="S25" s="8">
        <f t="shared" si="18"/>
        <v>2.9369253821127224</v>
      </c>
      <c r="T25" s="50">
        <f t="shared" si="19"/>
        <v>1.4684626910563612E-12</v>
      </c>
      <c r="U25" s="57">
        <f t="shared" si="12"/>
        <v>1.3429356538435014E-12</v>
      </c>
      <c r="V25" s="8">
        <f t="shared" si="13"/>
        <v>2.6858713076870031</v>
      </c>
      <c r="W25" s="8">
        <f t="shared" si="20"/>
        <v>2.9369253821127224</v>
      </c>
      <c r="X25" s="50">
        <f t="shared" si="21"/>
        <v>1.4684626910563612E-12</v>
      </c>
      <c r="Y25" s="57">
        <f t="shared" si="14"/>
        <v>1.3429356538435016E-12</v>
      </c>
      <c r="Z25" s="8">
        <f t="shared" si="15"/>
        <v>2.6858713076870031</v>
      </c>
      <c r="AA25" s="8">
        <f t="shared" si="22"/>
        <v>2.9369253821127219</v>
      </c>
      <c r="AB25" s="50">
        <f t="shared" si="23"/>
        <v>1.468462691056361E-12</v>
      </c>
      <c r="AC25" s="49">
        <f t="shared" si="16"/>
        <v>1.3084091975580071E-12</v>
      </c>
      <c r="AD25" s="8">
        <f t="shared" si="17"/>
        <v>2.6168183951160144</v>
      </c>
      <c r="AE25" s="8">
        <f t="shared" si="24"/>
        <v>2.8677558821772857</v>
      </c>
      <c r="AF25" s="50">
        <f t="shared" si="25"/>
        <v>1.4338779410886429E-12</v>
      </c>
    </row>
    <row r="26" spans="1:32" s="22" customFormat="1">
      <c r="A26" s="22">
        <f t="shared" si="5"/>
        <v>1955</v>
      </c>
      <c r="B26" s="23"/>
      <c r="C26" s="24">
        <v>1.6799999999999999E-12</v>
      </c>
      <c r="D26" s="25"/>
      <c r="E26" s="22">
        <v>0.24100000000000002</v>
      </c>
      <c r="F26" s="22">
        <v>0.28000000000000003</v>
      </c>
      <c r="I26" s="22">
        <v>6.8999999999999999E-13</v>
      </c>
      <c r="J26" s="22">
        <v>9.3037974683544301E-14</v>
      </c>
      <c r="K26" s="14">
        <f t="shared" si="6"/>
        <v>22.099445304158277</v>
      </c>
      <c r="L26" s="14">
        <f t="shared" si="7"/>
        <v>25.947808081693008</v>
      </c>
      <c r="M26" s="14">
        <f t="shared" si="8"/>
        <v>24.525535178819446</v>
      </c>
      <c r="N26" s="22">
        <v>0.1855</v>
      </c>
      <c r="O26" s="14">
        <f t="shared" si="9"/>
        <v>27.198968161709463</v>
      </c>
      <c r="Q26" s="49">
        <f t="shared" si="10"/>
        <v>1.5256018239787635E-12</v>
      </c>
      <c r="R26" s="8">
        <f t="shared" si="11"/>
        <v>2.2110171362011064</v>
      </c>
      <c r="S26" s="8">
        <f t="shared" si="18"/>
        <v>2.417685586427933</v>
      </c>
      <c r="T26" s="50">
        <f t="shared" si="19"/>
        <v>1.6682030546352736E-12</v>
      </c>
      <c r="U26" s="57">
        <f t="shared" si="12"/>
        <v>1.5256018239787631E-12</v>
      </c>
      <c r="V26" s="8">
        <f t="shared" si="13"/>
        <v>2.211017136201106</v>
      </c>
      <c r="W26" s="8">
        <f t="shared" si="20"/>
        <v>2.4176855864279325</v>
      </c>
      <c r="X26" s="50">
        <f t="shared" si="21"/>
        <v>1.6682030546352734E-12</v>
      </c>
      <c r="Y26" s="57">
        <f t="shared" si="14"/>
        <v>1.5256018239787639E-12</v>
      </c>
      <c r="Z26" s="8">
        <f t="shared" si="15"/>
        <v>2.2110171362011073</v>
      </c>
      <c r="AA26" s="8">
        <f t="shared" si="22"/>
        <v>2.4176855864279339</v>
      </c>
      <c r="AB26" s="50">
        <f t="shared" si="23"/>
        <v>1.6682030546352744E-12</v>
      </c>
      <c r="AC26" s="49">
        <f t="shared" si="16"/>
        <v>1.4748811981755685E-12</v>
      </c>
      <c r="AD26" s="8">
        <f t="shared" si="17"/>
        <v>2.1375089828631428</v>
      </c>
      <c r="AE26" s="8">
        <f t="shared" si="24"/>
        <v>2.3424835174856691</v>
      </c>
      <c r="AF26" s="50">
        <f t="shared" si="25"/>
        <v>1.6163136270651116E-12</v>
      </c>
    </row>
    <row r="27" spans="1:32" s="22" customFormat="1">
      <c r="A27" s="22">
        <f t="shared" si="5"/>
        <v>1956</v>
      </c>
      <c r="B27" s="23"/>
      <c r="C27" s="24">
        <v>1.8800000000000001E-12</v>
      </c>
      <c r="D27" s="25"/>
      <c r="E27" s="22">
        <v>0.24</v>
      </c>
      <c r="F27" s="22">
        <v>0.27900000000000003</v>
      </c>
      <c r="I27" s="22">
        <v>1.8E-12</v>
      </c>
      <c r="J27" s="22">
        <v>1.0550632911392404E-13</v>
      </c>
      <c r="K27" s="14">
        <f t="shared" si="6"/>
        <v>22.007746360987493</v>
      </c>
      <c r="L27" s="14">
        <f t="shared" si="7"/>
        <v>25.840140828241999</v>
      </c>
      <c r="M27" s="14">
        <f t="shared" si="8"/>
        <v>24.423769472683261</v>
      </c>
      <c r="N27" s="22">
        <v>0.18820000000000001</v>
      </c>
      <c r="O27" s="14">
        <f t="shared" si="9"/>
        <v>27.101828989703357</v>
      </c>
      <c r="Q27" s="49">
        <f t="shared" si="10"/>
        <v>1.7062227643868464E-12</v>
      </c>
      <c r="R27" s="8">
        <f t="shared" si="11"/>
        <v>0.9479015357704702</v>
      </c>
      <c r="S27" s="8">
        <f t="shared" si="18"/>
        <v>1.0365038980759487</v>
      </c>
      <c r="T27" s="50">
        <f t="shared" si="19"/>
        <v>1.8657070165367077E-12</v>
      </c>
      <c r="U27" s="57">
        <f t="shared" si="12"/>
        <v>1.7062227643868464E-12</v>
      </c>
      <c r="V27" s="8">
        <f t="shared" si="13"/>
        <v>0.9479015357704702</v>
      </c>
      <c r="W27" s="8">
        <f t="shared" si="20"/>
        <v>1.0365038980759487</v>
      </c>
      <c r="X27" s="50">
        <f t="shared" si="21"/>
        <v>1.8657070165367077E-12</v>
      </c>
      <c r="Y27" s="57">
        <f t="shared" si="14"/>
        <v>1.706222764386847E-12</v>
      </c>
      <c r="Z27" s="8">
        <f t="shared" si="15"/>
        <v>0.94790153577047054</v>
      </c>
      <c r="AA27" s="8">
        <f t="shared" si="22"/>
        <v>1.0365038980759489</v>
      </c>
      <c r="AB27" s="50">
        <f t="shared" si="23"/>
        <v>1.8657070165367081E-12</v>
      </c>
      <c r="AC27" s="49">
        <f t="shared" si="16"/>
        <v>1.6485404172360917E-12</v>
      </c>
      <c r="AD27" s="8">
        <f t="shared" si="17"/>
        <v>0.91585578735338424</v>
      </c>
      <c r="AE27" s="8">
        <f t="shared" si="24"/>
        <v>1.0036809685802959</v>
      </c>
      <c r="AF27" s="50">
        <f t="shared" si="25"/>
        <v>1.8066257434445326E-12</v>
      </c>
    </row>
    <row r="28" spans="1:32" s="22" customFormat="1">
      <c r="A28" s="22">
        <f t="shared" si="5"/>
        <v>1957</v>
      </c>
      <c r="B28" s="23"/>
      <c r="C28" s="24">
        <v>2.2400000000000001E-12</v>
      </c>
      <c r="D28" s="25"/>
      <c r="E28" s="22">
        <v>0.25</v>
      </c>
      <c r="F28" s="22">
        <v>0.28599999999999998</v>
      </c>
      <c r="I28" s="22">
        <v>1.8E-12</v>
      </c>
      <c r="J28" s="22">
        <v>1.3158227848101266E-13</v>
      </c>
      <c r="K28" s="14">
        <f t="shared" si="6"/>
        <v>22.924735792695305</v>
      </c>
      <c r="L28" s="14">
        <f t="shared" si="7"/>
        <v>26.91681336275208</v>
      </c>
      <c r="M28" s="14">
        <f t="shared" si="8"/>
        <v>25.441426534045064</v>
      </c>
      <c r="N28" s="22">
        <v>0.19450000000000001</v>
      </c>
      <c r="O28" s="14">
        <f t="shared" si="9"/>
        <v>27.781803193746089</v>
      </c>
      <c r="Q28" s="49">
        <f t="shared" si="10"/>
        <v>2.0262251323310045E-12</v>
      </c>
      <c r="R28" s="8">
        <f t="shared" si="11"/>
        <v>1.1256806290727803</v>
      </c>
      <c r="S28" s="8">
        <f t="shared" si="18"/>
        <v>1.2309003794092925</v>
      </c>
      <c r="T28" s="50">
        <f t="shared" si="19"/>
        <v>2.2156206829367267E-12</v>
      </c>
      <c r="U28" s="57">
        <f t="shared" si="12"/>
        <v>2.0262251323310045E-12</v>
      </c>
      <c r="V28" s="8">
        <f t="shared" si="13"/>
        <v>1.1256806290727803</v>
      </c>
      <c r="W28" s="8">
        <f t="shared" si="20"/>
        <v>1.2309003794092925</v>
      </c>
      <c r="X28" s="50">
        <f t="shared" si="21"/>
        <v>2.2156206829367267E-12</v>
      </c>
      <c r="Y28" s="57">
        <f t="shared" si="14"/>
        <v>2.0262251323310053E-12</v>
      </c>
      <c r="Z28" s="8">
        <f t="shared" si="15"/>
        <v>1.1256806290727808</v>
      </c>
      <c r="AA28" s="8">
        <f t="shared" si="22"/>
        <v>1.230900379409293</v>
      </c>
      <c r="AB28" s="50">
        <f t="shared" si="23"/>
        <v>2.2156206829367275E-12</v>
      </c>
      <c r="AC28" s="49">
        <f t="shared" si="16"/>
        <v>1.9893834567679196E-12</v>
      </c>
      <c r="AD28" s="8">
        <f t="shared" si="17"/>
        <v>1.1052130315377331</v>
      </c>
      <c r="AE28" s="8">
        <f t="shared" si="24"/>
        <v>1.2111964583277119</v>
      </c>
      <c r="AF28" s="50">
        <f t="shared" si="25"/>
        <v>2.1801536249898814E-12</v>
      </c>
    </row>
    <row r="29" spans="1:32" s="22" customFormat="1">
      <c r="A29" s="22">
        <f t="shared" si="5"/>
        <v>1958</v>
      </c>
      <c r="B29" s="23"/>
      <c r="C29" s="24">
        <v>2.7700000000000001E-12</v>
      </c>
      <c r="D29" s="25"/>
      <c r="E29" s="22">
        <v>0.26400000000000001</v>
      </c>
      <c r="F29" s="22">
        <v>0.29299999999999998</v>
      </c>
      <c r="I29" s="22">
        <v>1.8E-12</v>
      </c>
      <c r="J29" s="22">
        <v>1.7316455696202532E-13</v>
      </c>
      <c r="K29" s="14">
        <f t="shared" si="6"/>
        <v>24.208520997086243</v>
      </c>
      <c r="L29" s="14">
        <f t="shared" si="7"/>
        <v>28.424154911066196</v>
      </c>
      <c r="M29" s="14">
        <f t="shared" si="8"/>
        <v>26.86614641995159</v>
      </c>
      <c r="N29" s="22">
        <v>0.2</v>
      </c>
      <c r="O29" s="14">
        <f t="shared" si="9"/>
        <v>28.461777397788826</v>
      </c>
      <c r="Q29" s="49">
        <f t="shared" si="10"/>
        <v>2.5158027098281232E-12</v>
      </c>
      <c r="R29" s="8">
        <f t="shared" si="11"/>
        <v>1.3976681721267352</v>
      </c>
      <c r="S29" s="8">
        <f t="shared" si="18"/>
        <v>1.5283111736373851</v>
      </c>
      <c r="T29" s="50">
        <f t="shared" si="19"/>
        <v>2.7509601125472934E-12</v>
      </c>
      <c r="U29" s="57">
        <f t="shared" si="12"/>
        <v>2.5158027098281232E-12</v>
      </c>
      <c r="V29" s="8">
        <f t="shared" si="13"/>
        <v>1.3976681721267352</v>
      </c>
      <c r="W29" s="8">
        <f t="shared" si="20"/>
        <v>1.5283111736373851</v>
      </c>
      <c r="X29" s="50">
        <f t="shared" si="21"/>
        <v>2.7509601125472934E-12</v>
      </c>
      <c r="Y29" s="57">
        <f t="shared" si="14"/>
        <v>2.515802709828124E-12</v>
      </c>
      <c r="Z29" s="8">
        <f t="shared" si="15"/>
        <v>1.3976681721267357</v>
      </c>
      <c r="AA29" s="8">
        <f t="shared" si="22"/>
        <v>1.5283111736373853</v>
      </c>
      <c r="AB29" s="50">
        <f t="shared" si="23"/>
        <v>2.7509601125472938E-12</v>
      </c>
      <c r="AC29" s="49">
        <f t="shared" si="16"/>
        <v>2.546066342679081E-12</v>
      </c>
      <c r="AD29" s="8">
        <f t="shared" si="17"/>
        <v>1.4144813014883784</v>
      </c>
      <c r="AE29" s="8">
        <f t="shared" si="24"/>
        <v>1.5501217356710162</v>
      </c>
      <c r="AF29" s="50">
        <f t="shared" si="25"/>
        <v>2.7902191242078293E-12</v>
      </c>
    </row>
    <row r="30" spans="1:32" s="22" customFormat="1">
      <c r="A30" s="22">
        <f t="shared" si="5"/>
        <v>1959</v>
      </c>
      <c r="B30" s="23"/>
      <c r="C30" s="24">
        <v>6.7199999999999996E-12</v>
      </c>
      <c r="D30" s="25"/>
      <c r="E30" s="22">
        <v>0.24</v>
      </c>
      <c r="F30" s="22">
        <v>0.30399999999999999</v>
      </c>
      <c r="I30" s="22">
        <v>8.0600000000000008E-12</v>
      </c>
      <c r="J30" s="22">
        <v>3.6999999999999994E-13</v>
      </c>
      <c r="K30" s="14">
        <f t="shared" si="6"/>
        <v>22.007746360987493</v>
      </c>
      <c r="L30" s="14">
        <f t="shared" si="7"/>
        <v>25.840140828241996</v>
      </c>
      <c r="M30" s="14">
        <f t="shared" si="8"/>
        <v>24.423769472683265</v>
      </c>
      <c r="N30" s="22">
        <v>0.2014</v>
      </c>
      <c r="O30" s="14">
        <f t="shared" si="9"/>
        <v>29.530308289855984</v>
      </c>
      <c r="Q30" s="49">
        <f t="shared" si="10"/>
        <v>6.0924009392804525E-12</v>
      </c>
      <c r="R30" s="8">
        <f t="shared" si="11"/>
        <v>0.75588100983628437</v>
      </c>
      <c r="S30" s="8">
        <f t="shared" si="18"/>
        <v>0.82653480726779582</v>
      </c>
      <c r="T30" s="50">
        <f t="shared" si="19"/>
        <v>6.6618705465784353E-12</v>
      </c>
      <c r="U30" s="57">
        <f t="shared" si="12"/>
        <v>6.0924009392804525E-12</v>
      </c>
      <c r="V30" s="8">
        <f t="shared" si="13"/>
        <v>0.75588100983628437</v>
      </c>
      <c r="W30" s="8">
        <f t="shared" si="20"/>
        <v>0.82653480726779582</v>
      </c>
      <c r="X30" s="50">
        <f t="shared" si="21"/>
        <v>6.6618705465784353E-12</v>
      </c>
      <c r="Y30" s="57">
        <f t="shared" si="14"/>
        <v>6.0924009392804541E-12</v>
      </c>
      <c r="Z30" s="8">
        <f t="shared" si="15"/>
        <v>0.75588100983628459</v>
      </c>
      <c r="AA30" s="8">
        <f t="shared" si="22"/>
        <v>0.82653480726779605</v>
      </c>
      <c r="AB30" s="50">
        <f t="shared" si="23"/>
        <v>6.6618705465784369E-12</v>
      </c>
      <c r="AC30" s="49">
        <f t="shared" si="16"/>
        <v>5.4023530604851953E-12</v>
      </c>
      <c r="AD30" s="8">
        <f t="shared" si="17"/>
        <v>0.67026712909245589</v>
      </c>
      <c r="AE30" s="8">
        <f t="shared" si="24"/>
        <v>0.73454180300492533</v>
      </c>
      <c r="AF30" s="50">
        <f t="shared" si="25"/>
        <v>5.9204069322196991E-12</v>
      </c>
    </row>
    <row r="31" spans="1:32" s="22" customFormat="1">
      <c r="A31" s="22">
        <f t="shared" si="5"/>
        <v>1960</v>
      </c>
      <c r="B31" s="23"/>
      <c r="C31" s="24">
        <v>7.6999999999999999E-12</v>
      </c>
      <c r="D31" s="25"/>
      <c r="E31" s="22">
        <v>0.26700000000000002</v>
      </c>
      <c r="F31" s="22">
        <v>0.31</v>
      </c>
      <c r="I31" s="22">
        <v>8.2799999999999995E-12</v>
      </c>
      <c r="J31" s="22">
        <v>4.7094936708860761E-13</v>
      </c>
      <c r="K31" s="14">
        <f t="shared" si="6"/>
        <v>24.483617826598589</v>
      </c>
      <c r="L31" s="14">
        <f t="shared" si="7"/>
        <v>28.747156671419223</v>
      </c>
      <c r="M31" s="14">
        <f t="shared" si="8"/>
        <v>27.171443538360133</v>
      </c>
      <c r="N31" s="22">
        <v>0.20480000000000001</v>
      </c>
      <c r="O31" s="14">
        <f t="shared" si="9"/>
        <v>30.113143321892618</v>
      </c>
      <c r="Q31" s="49">
        <f t="shared" si="10"/>
        <v>6.9900225116517994E-12</v>
      </c>
      <c r="R31" s="8">
        <f t="shared" si="11"/>
        <v>0.84420561734925115</v>
      </c>
      <c r="S31" s="8">
        <f t="shared" si="18"/>
        <v>0.92311530273962339</v>
      </c>
      <c r="T31" s="50">
        <f t="shared" si="19"/>
        <v>7.6433947066840819E-12</v>
      </c>
      <c r="U31" s="57">
        <f t="shared" si="12"/>
        <v>6.9900225116517994E-12</v>
      </c>
      <c r="V31" s="8">
        <f t="shared" si="13"/>
        <v>0.84420561734925115</v>
      </c>
      <c r="W31" s="8">
        <f t="shared" si="20"/>
        <v>0.92311530273962339</v>
      </c>
      <c r="X31" s="50">
        <f t="shared" si="21"/>
        <v>7.6433947066840819E-12</v>
      </c>
      <c r="Y31" s="57">
        <f t="shared" si="14"/>
        <v>6.990022511651801E-12</v>
      </c>
      <c r="Z31" s="8">
        <f t="shared" si="15"/>
        <v>0.84420561734925137</v>
      </c>
      <c r="AA31" s="8">
        <f t="shared" si="22"/>
        <v>0.9231153027396235</v>
      </c>
      <c r="AB31" s="50">
        <f t="shared" si="23"/>
        <v>7.6433947066840819E-12</v>
      </c>
      <c r="AC31" s="49">
        <f t="shared" si="16"/>
        <v>6.7621526549490028E-12</v>
      </c>
      <c r="AD31" s="8">
        <f t="shared" si="17"/>
        <v>0.81668510325471055</v>
      </c>
      <c r="AE31" s="8">
        <f t="shared" si="24"/>
        <v>0.89500039938439324</v>
      </c>
      <c r="AF31" s="50">
        <f t="shared" si="25"/>
        <v>7.4106033069027748E-12</v>
      </c>
    </row>
    <row r="32" spans="1:32" s="22" customFormat="1">
      <c r="A32" s="22">
        <f t="shared" si="5"/>
        <v>1961</v>
      </c>
      <c r="B32" s="23"/>
      <c r="C32" s="24">
        <v>7.9799999999999995E-12</v>
      </c>
      <c r="D32" s="25"/>
      <c r="E32" s="22">
        <v>0.30099999999999999</v>
      </c>
      <c r="F32" s="22">
        <v>0.32200000000000001</v>
      </c>
      <c r="I32" s="22">
        <v>8.2899999999999996E-12</v>
      </c>
      <c r="J32" s="22">
        <v>5.3462025316455689E-13</v>
      </c>
      <c r="K32" s="14">
        <f t="shared" si="6"/>
        <v>27.601381894405151</v>
      </c>
      <c r="L32" s="14">
        <f t="shared" si="7"/>
        <v>32.407843288753504</v>
      </c>
      <c r="M32" s="14">
        <f t="shared" si="8"/>
        <v>30.631477546990261</v>
      </c>
      <c r="N32" s="22">
        <v>0.2069</v>
      </c>
      <c r="O32" s="14">
        <f t="shared" si="9"/>
        <v>31.278813385965883</v>
      </c>
      <c r="Q32" s="49">
        <f t="shared" si="10"/>
        <v>7.236993279495272E-12</v>
      </c>
      <c r="R32" s="8">
        <f t="shared" si="11"/>
        <v>0.8729786826894177</v>
      </c>
      <c r="S32" s="8">
        <f t="shared" si="18"/>
        <v>0.95457784738086149</v>
      </c>
      <c r="T32" s="50">
        <f t="shared" si="19"/>
        <v>7.9134503547873415E-12</v>
      </c>
      <c r="U32" s="57">
        <f t="shared" si="12"/>
        <v>7.236993279495272E-12</v>
      </c>
      <c r="V32" s="8">
        <f t="shared" si="13"/>
        <v>0.8729786826894177</v>
      </c>
      <c r="W32" s="8">
        <f t="shared" si="20"/>
        <v>0.95457784738086149</v>
      </c>
      <c r="X32" s="50">
        <f t="shared" si="21"/>
        <v>7.9134503547873415E-12</v>
      </c>
      <c r="Y32" s="57">
        <f t="shared" si="14"/>
        <v>7.2369932794952736E-12</v>
      </c>
      <c r="Z32" s="8">
        <f t="shared" si="15"/>
        <v>0.87297868268941781</v>
      </c>
      <c r="AA32" s="8">
        <f t="shared" si="22"/>
        <v>0.9545778473808616</v>
      </c>
      <c r="AB32" s="50">
        <f t="shared" si="23"/>
        <v>7.9134503547873415E-12</v>
      </c>
      <c r="AC32" s="49">
        <f t="shared" si="16"/>
        <v>7.5984607067184319E-12</v>
      </c>
      <c r="AD32" s="8">
        <f t="shared" si="17"/>
        <v>0.91658150865119814</v>
      </c>
      <c r="AE32" s="8">
        <f t="shared" si="24"/>
        <v>1.0044762822805173</v>
      </c>
      <c r="AF32" s="50">
        <f t="shared" si="25"/>
        <v>8.3271083801054887E-12</v>
      </c>
    </row>
    <row r="33" spans="1:32" s="22" customFormat="1">
      <c r="A33" s="22">
        <f t="shared" si="5"/>
        <v>1962</v>
      </c>
      <c r="B33" s="23"/>
      <c r="C33" s="24">
        <v>1.1100000000000001E-11</v>
      </c>
      <c r="D33" s="25"/>
      <c r="E33" s="22">
        <v>0.28499999999999998</v>
      </c>
      <c r="F33" s="22">
        <v>0.33500000000000002</v>
      </c>
      <c r="I33" s="22">
        <v>1.1600000000000001E-11</v>
      </c>
      <c r="J33" s="22">
        <v>6.8481012658227843E-13</v>
      </c>
      <c r="K33" s="14">
        <f t="shared" si="6"/>
        <v>26.13419880367265</v>
      </c>
      <c r="L33" s="14">
        <f t="shared" si="7"/>
        <v>30.685167233537371</v>
      </c>
      <c r="M33" s="14">
        <f t="shared" si="8"/>
        <v>29.003226248811377</v>
      </c>
      <c r="N33" s="22">
        <v>0.20899999999999999</v>
      </c>
      <c r="O33" s="14">
        <f t="shared" si="9"/>
        <v>32.541622622045253</v>
      </c>
      <c r="Q33" s="49">
        <f t="shared" si="10"/>
        <v>1.0083416618623258E-11</v>
      </c>
      <c r="R33" s="8">
        <f t="shared" si="11"/>
        <v>0.86926005332959111</v>
      </c>
      <c r="S33" s="8">
        <f t="shared" si="18"/>
        <v>0.95051162986616256</v>
      </c>
      <c r="T33" s="50">
        <f t="shared" si="19"/>
        <v>1.1025934906447486E-11</v>
      </c>
      <c r="U33" s="57">
        <f t="shared" si="12"/>
        <v>1.0083416618623258E-11</v>
      </c>
      <c r="V33" s="8">
        <f t="shared" si="13"/>
        <v>0.86926005332959111</v>
      </c>
      <c r="W33" s="8">
        <f t="shared" si="20"/>
        <v>0.95051162986616256</v>
      </c>
      <c r="X33" s="50">
        <f t="shared" si="21"/>
        <v>1.1025934906447486E-11</v>
      </c>
      <c r="Y33" s="57">
        <f t="shared" si="14"/>
        <v>1.0083416618623258E-11</v>
      </c>
      <c r="Z33" s="8">
        <f t="shared" si="15"/>
        <v>0.86926005332959111</v>
      </c>
      <c r="AA33" s="8">
        <f t="shared" si="22"/>
        <v>0.95051162986616244</v>
      </c>
      <c r="AB33" s="50">
        <f t="shared" si="23"/>
        <v>1.1025934906447486E-11</v>
      </c>
      <c r="AC33" s="49">
        <f t="shared" si="16"/>
        <v>9.6352856220752042E-12</v>
      </c>
      <c r="AD33" s="8">
        <f t="shared" si="17"/>
        <v>0.83062807086855206</v>
      </c>
      <c r="AE33" s="8">
        <f t="shared" si="24"/>
        <v>0.91028041555373418</v>
      </c>
      <c r="AF33" s="50">
        <f t="shared" si="25"/>
        <v>1.0559252820423317E-11</v>
      </c>
    </row>
    <row r="34" spans="1:32" s="22" customFormat="1">
      <c r="A34" s="22">
        <f t="shared" si="5"/>
        <v>1963</v>
      </c>
      <c r="B34" s="23"/>
      <c r="C34" s="24">
        <v>1.38E-11</v>
      </c>
      <c r="D34" s="25"/>
      <c r="E34" s="22">
        <v>0.29100000000000004</v>
      </c>
      <c r="F34" s="22">
        <v>0.34699999999999998</v>
      </c>
      <c r="I34" s="22">
        <v>1.39E-11</v>
      </c>
      <c r="J34" s="22">
        <v>8.4936708860759502E-13</v>
      </c>
      <c r="K34" s="14">
        <f t="shared" si="6"/>
        <v>26.684392462697343</v>
      </c>
      <c r="L34" s="14">
        <f t="shared" si="7"/>
        <v>31.331170754243431</v>
      </c>
      <c r="M34" s="14">
        <f t="shared" si="8"/>
        <v>29.613820485628466</v>
      </c>
      <c r="N34" s="22">
        <v>0.21179999999999999</v>
      </c>
      <c r="O34" s="14">
        <f t="shared" si="9"/>
        <v>33.707292686118514</v>
      </c>
      <c r="Q34" s="49">
        <f t="shared" si="10"/>
        <v>1.251958218881184E-11</v>
      </c>
      <c r="R34" s="8">
        <f t="shared" si="11"/>
        <v>0.90068936610157124</v>
      </c>
      <c r="S34" s="8">
        <f t="shared" si="18"/>
        <v>0.98487870700727809</v>
      </c>
      <c r="T34" s="50">
        <f t="shared" si="19"/>
        <v>1.3689814027401165E-11</v>
      </c>
      <c r="U34" s="57">
        <f t="shared" si="12"/>
        <v>1.251958218881184E-11</v>
      </c>
      <c r="V34" s="8">
        <f t="shared" si="13"/>
        <v>0.90068936610157124</v>
      </c>
      <c r="W34" s="8">
        <f t="shared" si="20"/>
        <v>0.98487870700727809</v>
      </c>
      <c r="X34" s="50">
        <f t="shared" si="21"/>
        <v>1.3689814027401165E-11</v>
      </c>
      <c r="Y34" s="57">
        <f t="shared" si="14"/>
        <v>1.2519582188811841E-11</v>
      </c>
      <c r="Z34" s="8">
        <f t="shared" si="15"/>
        <v>0.90068936610157135</v>
      </c>
      <c r="AA34" s="8">
        <f t="shared" si="22"/>
        <v>0.98487870700727809</v>
      </c>
      <c r="AB34" s="50">
        <f t="shared" si="23"/>
        <v>1.3689814027401165E-11</v>
      </c>
      <c r="AC34" s="49">
        <f t="shared" si="16"/>
        <v>1.1792616585889147E-11</v>
      </c>
      <c r="AD34" s="8">
        <f t="shared" si="17"/>
        <v>0.84838968243806812</v>
      </c>
      <c r="AE34" s="8">
        <f t="shared" si="24"/>
        <v>0.92974526116567802</v>
      </c>
      <c r="AF34" s="50">
        <f t="shared" si="25"/>
        <v>1.2923459130202924E-11</v>
      </c>
    </row>
    <row r="35" spans="1:32" s="22" customFormat="1">
      <c r="A35" s="22">
        <f t="shared" si="5"/>
        <v>1964</v>
      </c>
      <c r="B35" s="23"/>
      <c r="C35" s="24">
        <v>1.6100000000000001E-11</v>
      </c>
      <c r="D35" s="25"/>
      <c r="E35" s="22">
        <v>0.314</v>
      </c>
      <c r="F35" s="22">
        <v>0.36199999999999999</v>
      </c>
      <c r="I35" s="22">
        <v>1.41E-11</v>
      </c>
      <c r="J35" s="22">
        <v>1.0373417721518987E-12</v>
      </c>
      <c r="K35" s="14">
        <f t="shared" si="6"/>
        <v>28.793468155625309</v>
      </c>
      <c r="L35" s="14">
        <f t="shared" si="7"/>
        <v>33.807517583616622</v>
      </c>
      <c r="M35" s="14">
        <f t="shared" si="8"/>
        <v>31.95443172676061</v>
      </c>
      <c r="N35" s="22">
        <v>0.2145</v>
      </c>
      <c r="O35" s="14">
        <f t="shared" si="9"/>
        <v>35.164380266210095</v>
      </c>
      <c r="Q35" s="49">
        <f t="shared" si="10"/>
        <v>1.4596790310048543E-11</v>
      </c>
      <c r="R35" s="8">
        <f t="shared" si="11"/>
        <v>1.0352333553225916</v>
      </c>
      <c r="S35" s="8">
        <f t="shared" si="18"/>
        <v>1.1319988075954941</v>
      </c>
      <c r="T35" s="50">
        <f t="shared" si="19"/>
        <v>1.5961183187096467E-11</v>
      </c>
      <c r="U35" s="57">
        <f t="shared" si="12"/>
        <v>1.459679031004854E-11</v>
      </c>
      <c r="V35" s="8">
        <f t="shared" si="13"/>
        <v>1.0352333553225914</v>
      </c>
      <c r="W35" s="8">
        <f t="shared" si="20"/>
        <v>1.1319988075954939</v>
      </c>
      <c r="X35" s="50">
        <f t="shared" si="21"/>
        <v>1.5961183187096464E-11</v>
      </c>
      <c r="Y35" s="57">
        <f t="shared" si="14"/>
        <v>1.4596790310048543E-11</v>
      </c>
      <c r="Z35" s="8">
        <f t="shared" si="15"/>
        <v>1.0352333553225916</v>
      </c>
      <c r="AA35" s="8">
        <f t="shared" si="22"/>
        <v>1.1319988075954941</v>
      </c>
      <c r="AB35" s="50">
        <f t="shared" si="23"/>
        <v>1.5961183187096467E-11</v>
      </c>
      <c r="AC35" s="49">
        <f t="shared" si="16"/>
        <v>1.422116828082108E-11</v>
      </c>
      <c r="AD35" s="8">
        <f t="shared" si="17"/>
        <v>1.0085934950936937</v>
      </c>
      <c r="AE35" s="8">
        <f t="shared" si="24"/>
        <v>1.105311676835891</v>
      </c>
      <c r="AF35" s="50">
        <f t="shared" si="25"/>
        <v>1.5584894643386063E-11</v>
      </c>
    </row>
    <row r="36" spans="1:32" s="22" customFormat="1">
      <c r="A36" s="22">
        <f t="shared" si="5"/>
        <v>1965</v>
      </c>
      <c r="B36" s="23"/>
      <c r="C36" s="24">
        <v>1.9500000000000001E-11</v>
      </c>
      <c r="D36" s="25"/>
      <c r="E36" s="22">
        <v>0.33799999999999997</v>
      </c>
      <c r="F36" s="22">
        <v>0.373</v>
      </c>
      <c r="I36" s="22">
        <v>1.68E-11</v>
      </c>
      <c r="J36" s="22">
        <v>1.3341772151898735E-12</v>
      </c>
      <c r="K36" s="14">
        <f t="shared" si="6"/>
        <v>30.994242791724055</v>
      </c>
      <c r="L36" s="14">
        <f t="shared" si="7"/>
        <v>36.391531666440819</v>
      </c>
      <c r="M36" s="14">
        <f t="shared" si="8"/>
        <v>34.396808674028932</v>
      </c>
      <c r="N36" s="22">
        <v>0.218</v>
      </c>
      <c r="O36" s="14">
        <f t="shared" si="9"/>
        <v>36.232911158277254</v>
      </c>
      <c r="Q36" s="49">
        <f t="shared" si="10"/>
        <v>1.7682067094902792E-11</v>
      </c>
      <c r="R36" s="8">
        <f t="shared" si="11"/>
        <v>1.0525039937442138</v>
      </c>
      <c r="S36" s="8">
        <f t="shared" si="18"/>
        <v>1.1508837691350082</v>
      </c>
      <c r="T36" s="50">
        <f t="shared" si="19"/>
        <v>1.9334847321468138E-11</v>
      </c>
      <c r="U36" s="57">
        <f t="shared" si="12"/>
        <v>1.7682067094902789E-11</v>
      </c>
      <c r="V36" s="8">
        <f t="shared" si="13"/>
        <v>1.0525039937442136</v>
      </c>
      <c r="W36" s="8">
        <f t="shared" si="20"/>
        <v>1.150883769135008</v>
      </c>
      <c r="X36" s="50">
        <f t="shared" si="21"/>
        <v>1.9334847321468134E-11</v>
      </c>
      <c r="Y36" s="57">
        <f t="shared" si="14"/>
        <v>1.7682067094902795E-11</v>
      </c>
      <c r="Z36" s="8">
        <f t="shared" si="15"/>
        <v>1.052503993744214</v>
      </c>
      <c r="AA36" s="8">
        <f t="shared" si="22"/>
        <v>1.1508837691350082</v>
      </c>
      <c r="AB36" s="50">
        <f t="shared" si="23"/>
        <v>1.9334847321468138E-11</v>
      </c>
      <c r="AC36" s="49">
        <f t="shared" si="16"/>
        <v>1.7996901156068942E-11</v>
      </c>
      <c r="AD36" s="8">
        <f t="shared" si="17"/>
        <v>1.0712441164326751</v>
      </c>
      <c r="AE36" s="8">
        <f t="shared" si="24"/>
        <v>1.1739701241329037</v>
      </c>
      <c r="AF36" s="50">
        <f t="shared" si="25"/>
        <v>1.9722698085432782E-11</v>
      </c>
    </row>
    <row r="37" spans="1:32" s="22" customFormat="1">
      <c r="A37" s="22">
        <f t="shared" si="5"/>
        <v>1966</v>
      </c>
      <c r="B37" s="23"/>
      <c r="C37" s="24">
        <v>2.5200000000000001E-11</v>
      </c>
      <c r="D37" s="25"/>
      <c r="E37" s="22">
        <v>0.34</v>
      </c>
      <c r="F37" s="22">
        <v>0.377</v>
      </c>
      <c r="I37" s="22">
        <v>2.07E-11</v>
      </c>
      <c r="J37" s="22">
        <v>1.7594936708860761E-12</v>
      </c>
      <c r="K37" s="14">
        <f t="shared" si="6"/>
        <v>31.177640678065625</v>
      </c>
      <c r="L37" s="14">
        <f t="shared" si="7"/>
        <v>36.606866173342844</v>
      </c>
      <c r="M37" s="14">
        <f t="shared" si="8"/>
        <v>34.600340086301301</v>
      </c>
      <c r="N37" s="22">
        <v>0.22420000000000001</v>
      </c>
      <c r="O37" s="14">
        <f t="shared" si="9"/>
        <v>36.621467846301677</v>
      </c>
      <c r="Q37" s="49">
        <f t="shared" si="10"/>
        <v>2.278234428148521E-11</v>
      </c>
      <c r="R37" s="8">
        <f t="shared" si="11"/>
        <v>1.1005963421007348</v>
      </c>
      <c r="S37" s="8">
        <f t="shared" si="18"/>
        <v>1.2034714110556886</v>
      </c>
      <c r="T37" s="50">
        <f t="shared" si="19"/>
        <v>2.4911858208852753E-11</v>
      </c>
      <c r="U37" s="57">
        <f t="shared" si="12"/>
        <v>2.278234428148521E-11</v>
      </c>
      <c r="V37" s="8">
        <f t="shared" si="13"/>
        <v>1.1005963421007348</v>
      </c>
      <c r="W37" s="8">
        <f t="shared" si="20"/>
        <v>1.2034714110556886</v>
      </c>
      <c r="X37" s="50">
        <f t="shared" si="21"/>
        <v>2.4911858208852753E-11</v>
      </c>
      <c r="Y37" s="57">
        <f t="shared" si="14"/>
        <v>2.2782344281485217E-11</v>
      </c>
      <c r="Z37" s="8">
        <f t="shared" si="15"/>
        <v>1.1005963421007352</v>
      </c>
      <c r="AA37" s="8">
        <f t="shared" si="22"/>
        <v>1.2034714110556888</v>
      </c>
      <c r="AB37" s="50">
        <f t="shared" si="23"/>
        <v>2.4911858208852759E-11</v>
      </c>
      <c r="AC37" s="49">
        <f t="shared" si="16"/>
        <v>2.3077715022640107E-11</v>
      </c>
      <c r="AD37" s="8">
        <f t="shared" si="17"/>
        <v>1.1148654600309229</v>
      </c>
      <c r="AE37" s="8">
        <f t="shared" si="24"/>
        <v>1.2217744979197234</v>
      </c>
      <c r="AF37" s="50">
        <f t="shared" si="25"/>
        <v>2.5290732106938275E-11</v>
      </c>
    </row>
    <row r="38" spans="1:32" s="22" customFormat="1">
      <c r="A38" s="22">
        <f t="shared" si="5"/>
        <v>1967</v>
      </c>
      <c r="B38" s="23"/>
      <c r="C38" s="24">
        <v>3.3100000000000001E-11</v>
      </c>
      <c r="D38" s="25"/>
      <c r="E38" s="22">
        <v>0.33299999999999996</v>
      </c>
      <c r="F38" s="22">
        <v>0.38800000000000001</v>
      </c>
      <c r="I38" s="22">
        <v>3.3100000000000001E-11</v>
      </c>
      <c r="J38" s="22">
        <v>2.2734177215189874E-12</v>
      </c>
      <c r="K38" s="14">
        <f t="shared" si="6"/>
        <v>30.535748075870153</v>
      </c>
      <c r="L38" s="14">
        <f t="shared" si="7"/>
        <v>35.853195399185779</v>
      </c>
      <c r="M38" s="14">
        <f t="shared" si="8"/>
        <v>33.887980143348038</v>
      </c>
      <c r="N38" s="22">
        <v>0.2311</v>
      </c>
      <c r="O38" s="14">
        <f t="shared" si="9"/>
        <v>37.689998738368836</v>
      </c>
      <c r="Q38" s="49">
        <f t="shared" si="10"/>
        <v>3.0008940629899139E-11</v>
      </c>
      <c r="R38" s="8">
        <f t="shared" si="11"/>
        <v>0.90661452054075942</v>
      </c>
      <c r="S38" s="8">
        <f t="shared" si="18"/>
        <v>0.99135769816950747</v>
      </c>
      <c r="T38" s="50">
        <f t="shared" si="19"/>
        <v>3.2813939809410699E-11</v>
      </c>
      <c r="U38" s="57">
        <f t="shared" si="12"/>
        <v>3.0008940629899132E-11</v>
      </c>
      <c r="V38" s="8">
        <f t="shared" si="13"/>
        <v>0.90661452054075931</v>
      </c>
      <c r="W38" s="8">
        <f t="shared" si="20"/>
        <v>0.99135769816950736</v>
      </c>
      <c r="X38" s="50">
        <f t="shared" si="21"/>
        <v>3.2813939809410692E-11</v>
      </c>
      <c r="Y38" s="57">
        <f t="shared" si="14"/>
        <v>3.0008940629899139E-11</v>
      </c>
      <c r="Z38" s="8">
        <f t="shared" si="15"/>
        <v>0.90661452054075942</v>
      </c>
      <c r="AA38" s="8">
        <f t="shared" si="22"/>
        <v>0.99135769816950736</v>
      </c>
      <c r="AB38" s="50">
        <f t="shared" si="23"/>
        <v>3.2813939809410692E-11</v>
      </c>
      <c r="AC38" s="49">
        <f t="shared" si="16"/>
        <v>2.8928106054261409E-11</v>
      </c>
      <c r="AD38" s="8">
        <f t="shared" si="17"/>
        <v>0.87396090798372839</v>
      </c>
      <c r="AE38" s="8">
        <f t="shared" si="24"/>
        <v>0.95776861678329173</v>
      </c>
      <c r="AF38" s="50">
        <f t="shared" si="25"/>
        <v>3.1702141215526955E-11</v>
      </c>
    </row>
    <row r="39" spans="1:32" s="22" customFormat="1">
      <c r="A39" s="22">
        <f t="shared" si="5"/>
        <v>1968</v>
      </c>
      <c r="B39" s="23"/>
      <c r="C39" s="24">
        <v>3.5699999999999997E-11</v>
      </c>
      <c r="D39" s="25"/>
      <c r="E39" s="22">
        <v>0.35799999999999998</v>
      </c>
      <c r="F39" s="22">
        <v>0.40200000000000002</v>
      </c>
      <c r="I39" s="22">
        <v>3.5000000000000002E-11</v>
      </c>
      <c r="J39" s="22">
        <v>2.6424050632911391E-12</v>
      </c>
      <c r="K39" s="14">
        <f t="shared" ref="K39:K63" si="26">K40*E39/E40</f>
        <v>32.828221655139686</v>
      </c>
      <c r="L39" s="14">
        <f t="shared" si="7"/>
        <v>38.544876735460988</v>
      </c>
      <c r="M39" s="14">
        <f t="shared" si="8"/>
        <v>36.432122796752552</v>
      </c>
      <c r="N39" s="22">
        <v>0.24079999999999999</v>
      </c>
      <c r="O39" s="14">
        <f t="shared" ref="O39:O60" si="27">O40*F39/F40</f>
        <v>39.049947146454308</v>
      </c>
      <c r="Q39" s="49">
        <f t="shared" si="10"/>
        <v>3.2260404860582742E-11</v>
      </c>
      <c r="R39" s="8">
        <f t="shared" si="11"/>
        <v>0.92172585315950684</v>
      </c>
      <c r="S39" s="8">
        <f t="shared" si="18"/>
        <v>1.007881519023667</v>
      </c>
      <c r="T39" s="50">
        <f t="shared" si="19"/>
        <v>3.5275853165828345E-11</v>
      </c>
      <c r="U39" s="57">
        <f t="shared" si="12"/>
        <v>3.2260404860582742E-11</v>
      </c>
      <c r="V39" s="8">
        <f t="shared" si="13"/>
        <v>0.92172585315950684</v>
      </c>
      <c r="W39" s="8">
        <f t="shared" si="20"/>
        <v>1.007881519023667</v>
      </c>
      <c r="X39" s="50">
        <f t="shared" si="21"/>
        <v>3.5275853165828345E-11</v>
      </c>
      <c r="Y39" s="57">
        <f t="shared" si="14"/>
        <v>3.2260404860582742E-11</v>
      </c>
      <c r="Z39" s="8">
        <f t="shared" si="15"/>
        <v>0.92172585315950684</v>
      </c>
      <c r="AA39" s="8">
        <f t="shared" si="22"/>
        <v>1.007881519023667</v>
      </c>
      <c r="AB39" s="50">
        <f t="shared" si="23"/>
        <v>3.5275853165828345E-11</v>
      </c>
      <c r="AC39" s="49">
        <f t="shared" si="16"/>
        <v>3.2268859469061357E-11</v>
      </c>
      <c r="AD39" s="8">
        <f t="shared" si="17"/>
        <v>0.92196741340175303</v>
      </c>
      <c r="AE39" s="8">
        <f t="shared" si="24"/>
        <v>1.0103786636066643</v>
      </c>
      <c r="AF39" s="50">
        <f t="shared" si="25"/>
        <v>3.536325322623325E-11</v>
      </c>
    </row>
    <row r="40" spans="1:32" s="22" customFormat="1">
      <c r="A40" s="22">
        <f t="shared" si="5"/>
        <v>1969</v>
      </c>
      <c r="B40" s="23"/>
      <c r="C40" s="24">
        <v>3.3800000000000002E-11</v>
      </c>
      <c r="D40" s="25"/>
      <c r="E40" s="22">
        <v>0.374</v>
      </c>
      <c r="F40" s="22">
        <v>0.40699999999999997</v>
      </c>
      <c r="I40" s="22">
        <v>3.5000000000000002E-11</v>
      </c>
      <c r="J40" s="22">
        <v>2.7278481012658227E-12</v>
      </c>
      <c r="K40" s="14">
        <f t="shared" si="26"/>
        <v>34.29540474587219</v>
      </c>
      <c r="L40" s="14">
        <f t="shared" si="7"/>
        <v>40.267552790677122</v>
      </c>
      <c r="M40" s="14">
        <f t="shared" si="8"/>
        <v>38.06037409493144</v>
      </c>
      <c r="N40" s="22">
        <v>0.254</v>
      </c>
      <c r="O40" s="14">
        <f t="shared" si="27"/>
        <v>39.535643006484825</v>
      </c>
      <c r="Q40" s="49">
        <f t="shared" si="10"/>
        <v>3.0598007748543779E-11</v>
      </c>
      <c r="R40" s="8">
        <f t="shared" si="11"/>
        <v>0.87422879281553645</v>
      </c>
      <c r="S40" s="8">
        <f t="shared" si="18"/>
        <v>0.95594480794569814</v>
      </c>
      <c r="T40" s="50">
        <f t="shared" si="19"/>
        <v>3.3458068278099437E-11</v>
      </c>
      <c r="U40" s="57">
        <f t="shared" si="12"/>
        <v>3.0598007748543779E-11</v>
      </c>
      <c r="V40" s="8">
        <f t="shared" si="13"/>
        <v>0.87422879281553645</v>
      </c>
      <c r="W40" s="8">
        <f t="shared" si="20"/>
        <v>0.95594480794569814</v>
      </c>
      <c r="X40" s="50">
        <f t="shared" si="21"/>
        <v>3.3458068278099437E-11</v>
      </c>
      <c r="Y40" s="57">
        <f t="shared" si="14"/>
        <v>3.0598007748543779E-11</v>
      </c>
      <c r="Z40" s="8">
        <f t="shared" si="15"/>
        <v>0.87422879281553645</v>
      </c>
      <c r="AA40" s="8">
        <f t="shared" si="22"/>
        <v>0.95594480794569803</v>
      </c>
      <c r="AB40" s="50">
        <f t="shared" si="23"/>
        <v>3.345806827809943E-11</v>
      </c>
      <c r="AC40" s="49">
        <f t="shared" si="16"/>
        <v>3.1581094122538911E-11</v>
      </c>
      <c r="AD40" s="8">
        <f t="shared" si="17"/>
        <v>0.9023169749296831</v>
      </c>
      <c r="AE40" s="8">
        <f t="shared" si="24"/>
        <v>0.98884386370583155</v>
      </c>
      <c r="AF40" s="50">
        <f t="shared" si="25"/>
        <v>3.4609535229704108E-11</v>
      </c>
    </row>
    <row r="41" spans="1:32" s="22" customFormat="1">
      <c r="A41" s="22">
        <f t="shared" si="5"/>
        <v>1970</v>
      </c>
      <c r="B41" s="23"/>
      <c r="C41" s="24">
        <v>3.5999999999999998E-11</v>
      </c>
      <c r="D41" s="25"/>
      <c r="E41" s="22">
        <v>0.38900000000000001</v>
      </c>
      <c r="F41" s="22">
        <v>0.40699999999999997</v>
      </c>
      <c r="I41" s="22">
        <v>3.7700000000000003E-11</v>
      </c>
      <c r="J41" s="22">
        <v>3.2000000000000001E-12</v>
      </c>
      <c r="K41" s="14">
        <f t="shared" si="26"/>
        <v>35.670888893433911</v>
      </c>
      <c r="L41" s="14">
        <f t="shared" si="7"/>
        <v>41.882561592442244</v>
      </c>
      <c r="M41" s="14">
        <f t="shared" si="8"/>
        <v>39.586859686974151</v>
      </c>
      <c r="N41" s="22">
        <v>0.26850000000000002</v>
      </c>
      <c r="O41" s="14">
        <f t="shared" si="27"/>
        <v>39.535643006484825</v>
      </c>
      <c r="Q41" s="49">
        <f t="shared" si="10"/>
        <v>3.264633049165346E-11</v>
      </c>
      <c r="R41" s="8">
        <f t="shared" si="11"/>
        <v>0.86595041091918989</v>
      </c>
      <c r="S41" s="8">
        <f t="shared" si="18"/>
        <v>0.94689262817646702</v>
      </c>
      <c r="T41" s="50">
        <f t="shared" si="19"/>
        <v>3.5697852082252809E-11</v>
      </c>
      <c r="U41" s="57">
        <f t="shared" si="12"/>
        <v>3.2646330491653466E-11</v>
      </c>
      <c r="V41" s="8">
        <f t="shared" si="13"/>
        <v>0.86595041091919001</v>
      </c>
      <c r="W41" s="8">
        <f t="shared" si="20"/>
        <v>0.94689262817646713</v>
      </c>
      <c r="X41" s="50">
        <f t="shared" si="21"/>
        <v>3.5697852082252815E-11</v>
      </c>
      <c r="Y41" s="57">
        <f t="shared" si="14"/>
        <v>3.264633049165346E-11</v>
      </c>
      <c r="Z41" s="8">
        <f t="shared" si="15"/>
        <v>0.86595041091918989</v>
      </c>
      <c r="AA41" s="8">
        <f t="shared" si="22"/>
        <v>0.94689262817646691</v>
      </c>
      <c r="AB41" s="50">
        <f t="shared" si="23"/>
        <v>3.5697852082252802E-11</v>
      </c>
      <c r="AC41" s="49">
        <f t="shared" si="16"/>
        <v>3.5046640499486632E-11</v>
      </c>
      <c r="AD41" s="8">
        <f t="shared" si="17"/>
        <v>0.92961911139221831</v>
      </c>
      <c r="AE41" s="8">
        <f t="shared" si="24"/>
        <v>1.0187641144127864</v>
      </c>
      <c r="AF41" s="50">
        <f t="shared" si="25"/>
        <v>3.8407407113362048E-11</v>
      </c>
    </row>
    <row r="42" spans="1:32" s="22" customFormat="1">
      <c r="A42" s="22">
        <f t="shared" si="5"/>
        <v>1971</v>
      </c>
      <c r="B42" s="23"/>
      <c r="C42" s="24">
        <v>4.8199999999999999E-11</v>
      </c>
      <c r="D42" s="25"/>
      <c r="E42" s="22">
        <v>0.40399999999999997</v>
      </c>
      <c r="F42" s="22">
        <v>0.434</v>
      </c>
      <c r="I42" s="22">
        <v>4.5899999999999998E-11</v>
      </c>
      <c r="J42" s="22">
        <v>4.3493670886075949E-12</v>
      </c>
      <c r="K42" s="14">
        <f t="shared" si="26"/>
        <v>37.046373040995626</v>
      </c>
      <c r="L42" s="14">
        <f t="shared" si="7"/>
        <v>43.497570394207365</v>
      </c>
      <c r="M42" s="14">
        <f t="shared" si="8"/>
        <v>41.113345279016848</v>
      </c>
      <c r="N42" s="22">
        <v>0.28029999999999999</v>
      </c>
      <c r="O42" s="14">
        <f t="shared" si="27"/>
        <v>42.158400650649668</v>
      </c>
      <c r="Q42" s="49">
        <f t="shared" si="10"/>
        <v>4.3641051611969307E-11</v>
      </c>
      <c r="R42" s="8">
        <f t="shared" si="11"/>
        <v>0.95078543816926597</v>
      </c>
      <c r="S42" s="8">
        <f t="shared" si="18"/>
        <v>1.0396573649342893</v>
      </c>
      <c r="T42" s="50">
        <f t="shared" si="19"/>
        <v>4.7720273050483874E-11</v>
      </c>
      <c r="U42" s="57">
        <f t="shared" si="12"/>
        <v>4.3641051611969313E-11</v>
      </c>
      <c r="V42" s="8">
        <f t="shared" si="13"/>
        <v>0.95078543816926608</v>
      </c>
      <c r="W42" s="8">
        <f t="shared" si="20"/>
        <v>1.0396573649342895</v>
      </c>
      <c r="X42" s="50">
        <f t="shared" si="21"/>
        <v>4.7720273050483886E-11</v>
      </c>
      <c r="Y42" s="57">
        <f t="shared" si="14"/>
        <v>4.3641051611969307E-11</v>
      </c>
      <c r="Z42" s="8">
        <f t="shared" si="15"/>
        <v>0.95078543816926597</v>
      </c>
      <c r="AA42" s="8">
        <f t="shared" si="22"/>
        <v>1.0396573649342893</v>
      </c>
      <c r="AB42" s="50">
        <f t="shared" si="23"/>
        <v>4.7720273050483874E-11</v>
      </c>
      <c r="AC42" s="49">
        <f t="shared" si="16"/>
        <v>4.5629285839552251E-11</v>
      </c>
      <c r="AD42" s="8">
        <f t="shared" si="17"/>
        <v>0.99410208800767441</v>
      </c>
      <c r="AE42" s="8">
        <f t="shared" si="24"/>
        <v>1.0894306290759395</v>
      </c>
      <c r="AF42" s="50">
        <f t="shared" si="25"/>
        <v>5.0004865874585622E-11</v>
      </c>
    </row>
    <row r="43" spans="1:32" s="22" customFormat="1">
      <c r="A43" s="22">
        <f t="shared" si="5"/>
        <v>1972</v>
      </c>
      <c r="B43" s="23"/>
      <c r="C43" s="24">
        <v>7.5300000000000001E-11</v>
      </c>
      <c r="D43" s="25"/>
      <c r="E43" s="22">
        <v>0.41700000000000004</v>
      </c>
      <c r="F43" s="22">
        <v>0.45600000000000002</v>
      </c>
      <c r="I43" s="22">
        <v>7.9999999999999995E-11</v>
      </c>
      <c r="J43" s="22">
        <v>6.8924050632911394E-12</v>
      </c>
      <c r="K43" s="14">
        <f t="shared" si="26"/>
        <v>38.238459302215787</v>
      </c>
      <c r="L43" s="14">
        <f t="shared" si="7"/>
        <v>44.897244689070483</v>
      </c>
      <c r="M43" s="14">
        <f t="shared" si="8"/>
        <v>42.436299458787204</v>
      </c>
      <c r="N43" s="22">
        <v>0.2893</v>
      </c>
      <c r="O43" s="14">
        <f t="shared" si="27"/>
        <v>44.295462434783985</v>
      </c>
      <c r="Q43" s="49">
        <f t="shared" si="10"/>
        <v>6.8207954171907245E-11</v>
      </c>
      <c r="R43" s="8">
        <f t="shared" si="11"/>
        <v>0.85259942714884063</v>
      </c>
      <c r="S43" s="8">
        <f t="shared" si="18"/>
        <v>0.93229369970245868</v>
      </c>
      <c r="T43" s="50">
        <f t="shared" si="19"/>
        <v>7.4583495976196693E-11</v>
      </c>
      <c r="U43" s="57">
        <f t="shared" si="12"/>
        <v>6.8207954171907245E-11</v>
      </c>
      <c r="V43" s="8">
        <f t="shared" si="13"/>
        <v>0.85259942714884063</v>
      </c>
      <c r="W43" s="8">
        <f t="shared" si="20"/>
        <v>0.93229369970245868</v>
      </c>
      <c r="X43" s="50">
        <f t="shared" si="21"/>
        <v>7.4583495976196693E-11</v>
      </c>
      <c r="Y43" s="57">
        <f t="shared" si="14"/>
        <v>6.8207954171907245E-11</v>
      </c>
      <c r="Z43" s="8">
        <f t="shared" si="15"/>
        <v>0.85259942714884063</v>
      </c>
      <c r="AA43" s="8">
        <f t="shared" si="22"/>
        <v>0.93229369970245857</v>
      </c>
      <c r="AB43" s="50">
        <f t="shared" si="23"/>
        <v>7.458349597619668E-11</v>
      </c>
      <c r="AC43" s="49">
        <f t="shared" si="16"/>
        <v>7.005885973951845E-11</v>
      </c>
      <c r="AD43" s="8">
        <f t="shared" si="17"/>
        <v>0.87573574674398069</v>
      </c>
      <c r="AE43" s="8">
        <f t="shared" si="24"/>
        <v>0.95971365213772419</v>
      </c>
      <c r="AF43" s="50">
        <f t="shared" si="25"/>
        <v>7.6777092171017931E-11</v>
      </c>
    </row>
    <row r="44" spans="1:32" s="22" customFormat="1">
      <c r="A44" s="22">
        <f t="shared" si="5"/>
        <v>1973</v>
      </c>
      <c r="B44" s="23"/>
      <c r="C44" s="24">
        <v>1.15E-10</v>
      </c>
      <c r="D44" s="25"/>
      <c r="E44" s="22">
        <v>0.41899999999999998</v>
      </c>
      <c r="F44" s="22">
        <v>0.46300000000000002</v>
      </c>
      <c r="I44" s="22">
        <v>8.68E-11</v>
      </c>
      <c r="J44" s="22">
        <v>1.1050632911392405E-11</v>
      </c>
      <c r="K44" s="14">
        <f t="shared" si="26"/>
        <v>38.421857188557347</v>
      </c>
      <c r="L44" s="14">
        <f t="shared" si="7"/>
        <v>45.112579195972494</v>
      </c>
      <c r="M44" s="14">
        <f t="shared" si="8"/>
        <v>42.639830871059566</v>
      </c>
      <c r="N44" s="22">
        <v>0.30730000000000002</v>
      </c>
      <c r="O44" s="14">
        <f t="shared" si="27"/>
        <v>44.975436638826729</v>
      </c>
      <c r="Q44" s="49">
        <f t="shared" si="10"/>
        <v>1.0403403350992188E-10</v>
      </c>
      <c r="R44" s="8">
        <f t="shared" si="11"/>
        <v>1.198548773155782</v>
      </c>
      <c r="S44" s="8">
        <f t="shared" si="18"/>
        <v>1.3105796631085227</v>
      </c>
      <c r="T44" s="50">
        <f t="shared" si="19"/>
        <v>1.1375831475781977E-10</v>
      </c>
      <c r="U44" s="57">
        <f t="shared" si="12"/>
        <v>1.0403403350992191E-10</v>
      </c>
      <c r="V44" s="8">
        <f t="shared" si="13"/>
        <v>1.1985487731557825</v>
      </c>
      <c r="W44" s="8">
        <f t="shared" si="20"/>
        <v>1.3105796631085231</v>
      </c>
      <c r="X44" s="50">
        <f t="shared" si="21"/>
        <v>1.1375831475781981E-10</v>
      </c>
      <c r="Y44" s="57">
        <f t="shared" si="14"/>
        <v>1.0403403350992187E-10</v>
      </c>
      <c r="Z44" s="8">
        <f t="shared" si="15"/>
        <v>1.198548773155782</v>
      </c>
      <c r="AA44" s="8">
        <f t="shared" si="22"/>
        <v>1.3105796631085225</v>
      </c>
      <c r="AB44" s="50">
        <f t="shared" si="23"/>
        <v>1.1375831475781975E-10</v>
      </c>
      <c r="AC44" s="49">
        <f t="shared" si="16"/>
        <v>1.0574632848059967E-10</v>
      </c>
      <c r="AD44" s="8">
        <f t="shared" si="17"/>
        <v>1.2182756737396276</v>
      </c>
      <c r="AE44" s="8">
        <f t="shared" si="24"/>
        <v>1.3351011426703998</v>
      </c>
      <c r="AF44" s="50">
        <f t="shared" si="25"/>
        <v>1.158867791837907E-10</v>
      </c>
    </row>
    <row r="45" spans="1:32" s="22" customFormat="1">
      <c r="A45" s="22">
        <f t="shared" si="5"/>
        <v>1974</v>
      </c>
      <c r="B45" s="23"/>
      <c r="C45" s="24">
        <v>1.28E-10</v>
      </c>
      <c r="D45" s="25"/>
      <c r="E45" s="22">
        <v>0.41600000000000004</v>
      </c>
      <c r="F45" s="22">
        <v>0.45700000000000002</v>
      </c>
      <c r="I45" s="22">
        <v>8.68E-11</v>
      </c>
      <c r="J45" s="22">
        <v>1.3721518987341772E-11</v>
      </c>
      <c r="K45" s="14">
        <f t="shared" si="26"/>
        <v>38.146760359045011</v>
      </c>
      <c r="L45" s="14">
        <f t="shared" si="7"/>
        <v>44.789577435619478</v>
      </c>
      <c r="M45" s="14">
        <f t="shared" si="8"/>
        <v>42.334533752651033</v>
      </c>
      <c r="N45" s="22">
        <v>0.34119999999999995</v>
      </c>
      <c r="O45" s="14">
        <f t="shared" si="27"/>
        <v>44.392601606790102</v>
      </c>
      <c r="Q45" s="49">
        <f t="shared" si="10"/>
        <v>1.1566445465130587E-10</v>
      </c>
      <c r="R45" s="8">
        <f t="shared" si="11"/>
        <v>1.332539800130252</v>
      </c>
      <c r="S45" s="8">
        <f t="shared" si="18"/>
        <v>1.4570951148989366</v>
      </c>
      <c r="T45" s="50">
        <f t="shared" si="19"/>
        <v>1.264758559732277E-10</v>
      </c>
      <c r="U45" s="57">
        <f t="shared" si="12"/>
        <v>1.1566445465130589E-10</v>
      </c>
      <c r="V45" s="8">
        <f t="shared" si="13"/>
        <v>1.3325398001302522</v>
      </c>
      <c r="W45" s="8">
        <f t="shared" si="20"/>
        <v>1.4570951148989368</v>
      </c>
      <c r="X45" s="50">
        <f t="shared" si="21"/>
        <v>1.2647585597322773E-10</v>
      </c>
      <c r="Y45" s="57">
        <f t="shared" si="14"/>
        <v>1.1566445465130585E-10</v>
      </c>
      <c r="Z45" s="8">
        <f t="shared" si="15"/>
        <v>1.3325398001302518</v>
      </c>
      <c r="AA45" s="8">
        <f t="shared" si="22"/>
        <v>1.4570951148989362</v>
      </c>
      <c r="AB45" s="50">
        <f t="shared" si="23"/>
        <v>1.2647585597322765E-10</v>
      </c>
      <c r="AC45" s="49">
        <f t="shared" si="16"/>
        <v>1.1825891056437054E-10</v>
      </c>
      <c r="AD45" s="8">
        <f t="shared" si="17"/>
        <v>1.3624298452116421</v>
      </c>
      <c r="AE45" s="8">
        <f t="shared" si="24"/>
        <v>1.493078851001564</v>
      </c>
      <c r="AF45" s="50">
        <f t="shared" si="25"/>
        <v>1.2959924426693576E-10</v>
      </c>
    </row>
    <row r="46" spans="1:32" s="22" customFormat="1">
      <c r="A46" s="22">
        <f t="shared" si="5"/>
        <v>1975</v>
      </c>
      <c r="B46" s="23"/>
      <c r="C46" s="24">
        <v>3.7799999999999999E-10</v>
      </c>
      <c r="D46" s="25"/>
      <c r="E46" s="22">
        <v>0.38700000000000001</v>
      </c>
      <c r="F46" s="22">
        <v>0.48499999999999999</v>
      </c>
      <c r="I46" s="22">
        <v>2.5699999999999999E-10</v>
      </c>
      <c r="J46" s="22">
        <v>3.8810126582278478E-11</v>
      </c>
      <c r="K46" s="14">
        <f t="shared" si="26"/>
        <v>35.487491007092352</v>
      </c>
      <c r="L46" s="14">
        <f t="shared" si="7"/>
        <v>41.667227085540233</v>
      </c>
      <c r="M46" s="14">
        <f t="shared" si="8"/>
        <v>39.383328274701803</v>
      </c>
      <c r="N46" s="22">
        <v>0.37229999999999996</v>
      </c>
      <c r="O46" s="14">
        <f t="shared" si="27"/>
        <v>47.112498422961046</v>
      </c>
      <c r="Q46" s="49">
        <f t="shared" si="10"/>
        <v>3.4203194751609238E-10</v>
      </c>
      <c r="R46" s="8">
        <f t="shared" si="11"/>
        <v>1.3308636090120327</v>
      </c>
      <c r="S46" s="8">
        <f t="shared" si="18"/>
        <v>1.4552622466500817</v>
      </c>
      <c r="T46" s="50">
        <f t="shared" si="19"/>
        <v>3.7400239738907098E-10</v>
      </c>
      <c r="U46" s="57">
        <f t="shared" si="12"/>
        <v>3.4203194751609238E-10</v>
      </c>
      <c r="V46" s="8">
        <f t="shared" si="13"/>
        <v>1.3308636090120327</v>
      </c>
      <c r="W46" s="8">
        <f t="shared" si="20"/>
        <v>1.4552622466500817</v>
      </c>
      <c r="X46" s="50">
        <f t="shared" si="21"/>
        <v>3.7400239738907098E-10</v>
      </c>
      <c r="Y46" s="57">
        <f t="shared" si="14"/>
        <v>3.4203194751609223E-10</v>
      </c>
      <c r="Z46" s="8">
        <f t="shared" si="15"/>
        <v>1.330863609012032</v>
      </c>
      <c r="AA46" s="8">
        <f t="shared" si="22"/>
        <v>1.4552622466500809</v>
      </c>
      <c r="AB46" s="50">
        <f t="shared" si="23"/>
        <v>3.7400239738907077E-10</v>
      </c>
      <c r="AC46" s="49">
        <f t="shared" si="16"/>
        <v>3.0654393530707892E-10</v>
      </c>
      <c r="AD46" s="8">
        <f t="shared" si="17"/>
        <v>1.1927779583933031</v>
      </c>
      <c r="AE46" s="8">
        <f t="shared" si="24"/>
        <v>1.3071583464477134</v>
      </c>
      <c r="AF46" s="50">
        <f t="shared" si="25"/>
        <v>3.3593969503706236E-10</v>
      </c>
    </row>
    <row r="47" spans="1:32" s="22" customFormat="1">
      <c r="A47" s="22">
        <f t="shared" si="5"/>
        <v>1976</v>
      </c>
      <c r="B47" s="23"/>
      <c r="C47" s="24">
        <v>2.0200000000000001E-9</v>
      </c>
      <c r="D47" s="25"/>
      <c r="E47" s="22">
        <v>0.38799999999999996</v>
      </c>
      <c r="F47" s="22">
        <v>0.50600000000000001</v>
      </c>
      <c r="I47" s="22">
        <v>1.8300000000000001E-9</v>
      </c>
      <c r="J47" s="22">
        <v>2.1113924050632913E-10</v>
      </c>
      <c r="K47" s="14">
        <f t="shared" si="26"/>
        <v>35.579189950263128</v>
      </c>
      <c r="L47" s="14">
        <f t="shared" si="7"/>
        <v>41.774894338991231</v>
      </c>
      <c r="M47" s="14">
        <f t="shared" si="8"/>
        <v>39.485093980837981</v>
      </c>
      <c r="N47" s="22">
        <v>0.39380000000000004</v>
      </c>
      <c r="O47" s="14">
        <f t="shared" si="27"/>
        <v>49.152421035089262</v>
      </c>
      <c r="Q47" s="49">
        <f t="shared" si="10"/>
        <v>1.8306103400817521E-9</v>
      </c>
      <c r="R47" s="8">
        <f t="shared" si="11"/>
        <v>1.0003335191703564</v>
      </c>
      <c r="S47" s="8">
        <f t="shared" si="18"/>
        <v>1.0938368099101532</v>
      </c>
      <c r="T47" s="50">
        <f t="shared" si="19"/>
        <v>2.0017213621355804E-9</v>
      </c>
      <c r="U47" s="57">
        <f t="shared" si="12"/>
        <v>1.8306103400817525E-9</v>
      </c>
      <c r="V47" s="8">
        <f t="shared" si="13"/>
        <v>1.0003335191703566</v>
      </c>
      <c r="W47" s="8">
        <f t="shared" si="20"/>
        <v>1.0938368099101534</v>
      </c>
      <c r="X47" s="50">
        <f t="shared" si="21"/>
        <v>2.0017213621355808E-9</v>
      </c>
      <c r="Y47" s="57">
        <f t="shared" si="14"/>
        <v>1.8306103400817513E-9</v>
      </c>
      <c r="Z47" s="8">
        <f t="shared" si="15"/>
        <v>1.000333519170356</v>
      </c>
      <c r="AA47" s="8">
        <f t="shared" si="22"/>
        <v>1.0938368099101528</v>
      </c>
      <c r="AB47" s="50">
        <f t="shared" si="23"/>
        <v>2.0017213621355796E-9</v>
      </c>
      <c r="AC47" s="49">
        <f t="shared" si="16"/>
        <v>1.5766451116534007E-9</v>
      </c>
      <c r="AD47" s="8">
        <f t="shared" si="17"/>
        <v>0.86155470582153038</v>
      </c>
      <c r="AE47" s="8">
        <f t="shared" si="24"/>
        <v>0.94417273283027225</v>
      </c>
      <c r="AF47" s="50">
        <f t="shared" si="25"/>
        <v>1.7278361010793982E-9</v>
      </c>
    </row>
    <row r="48" spans="1:32" s="22" customFormat="1">
      <c r="A48" s="22">
        <f t="shared" si="5"/>
        <v>1977</v>
      </c>
      <c r="B48" s="23"/>
      <c r="C48" s="24">
        <v>4.8699999999999999E-9</v>
      </c>
      <c r="D48" s="25"/>
      <c r="E48" s="22">
        <v>0.43700000000000006</v>
      </c>
      <c r="F48" s="22">
        <v>0.52900000000000003</v>
      </c>
      <c r="I48" s="22">
        <v>4.0499999999999999E-9</v>
      </c>
      <c r="J48" s="22">
        <v>5.8303797468354423E-10</v>
      </c>
      <c r="K48" s="14">
        <f t="shared" si="26"/>
        <v>40.072438165631418</v>
      </c>
      <c r="L48" s="14">
        <f t="shared" si="7"/>
        <v>47.050589758090652</v>
      </c>
      <c r="M48" s="14">
        <f t="shared" si="8"/>
        <v>44.47161358151083</v>
      </c>
      <c r="N48" s="22">
        <v>0.4194</v>
      </c>
      <c r="O48" s="14">
        <f t="shared" si="27"/>
        <v>51.386621991229688</v>
      </c>
      <c r="Q48" s="49">
        <f t="shared" si="10"/>
        <v>4.4058177466541343E-9</v>
      </c>
      <c r="R48" s="8">
        <f t="shared" si="11"/>
        <v>1.0878562337417617</v>
      </c>
      <c r="S48" s="8">
        <f t="shared" si="18"/>
        <v>1.1895404578103683</v>
      </c>
      <c r="T48" s="50">
        <f t="shared" si="19"/>
        <v>4.8176388541319917E-9</v>
      </c>
      <c r="U48" s="57">
        <f t="shared" si="12"/>
        <v>4.405817746654136E-9</v>
      </c>
      <c r="V48" s="8">
        <f t="shared" si="13"/>
        <v>1.0878562337417621</v>
      </c>
      <c r="W48" s="8">
        <f t="shared" si="20"/>
        <v>1.1895404578103688</v>
      </c>
      <c r="X48" s="50">
        <f t="shared" si="21"/>
        <v>4.8176388541319934E-9</v>
      </c>
      <c r="Y48" s="57">
        <f t="shared" si="14"/>
        <v>4.4058177466541327E-9</v>
      </c>
      <c r="Z48" s="8">
        <f t="shared" si="15"/>
        <v>1.0878562337417612</v>
      </c>
      <c r="AA48" s="8">
        <f t="shared" si="22"/>
        <v>1.1895404578103677</v>
      </c>
      <c r="AB48" s="50">
        <f t="shared" si="23"/>
        <v>4.8176388541319892E-9</v>
      </c>
      <c r="AC48" s="49">
        <f t="shared" si="16"/>
        <v>4.0879833814317892E-9</v>
      </c>
      <c r="AD48" s="8">
        <f t="shared" si="17"/>
        <v>1.0093786126992073</v>
      </c>
      <c r="AE48" s="8">
        <f t="shared" si="24"/>
        <v>1.1061720826002401</v>
      </c>
      <c r="AF48" s="50">
        <f t="shared" si="25"/>
        <v>4.4799969345309724E-9</v>
      </c>
    </row>
    <row r="49" spans="1:32" s="22" customFormat="1">
      <c r="A49" s="22">
        <f t="shared" si="5"/>
        <v>1978</v>
      </c>
      <c r="B49" s="23"/>
      <c r="C49" s="24">
        <v>1.28E-8</v>
      </c>
      <c r="D49" s="25"/>
      <c r="E49" s="22">
        <v>0.43099999999999999</v>
      </c>
      <c r="F49" s="22">
        <v>0.53400000000000003</v>
      </c>
      <c r="I49" s="22">
        <v>7.8999999999999996E-9</v>
      </c>
      <c r="J49" s="22">
        <v>1.6056962025316454E-9</v>
      </c>
      <c r="K49" s="14">
        <f t="shared" si="26"/>
        <v>39.522244506606725</v>
      </c>
      <c r="L49" s="14">
        <f t="shared" si="7"/>
        <v>46.404586237384592</v>
      </c>
      <c r="M49" s="14">
        <f t="shared" si="8"/>
        <v>43.861019344693744</v>
      </c>
      <c r="N49" s="22">
        <v>0.45119999999999999</v>
      </c>
      <c r="O49" s="14">
        <f t="shared" si="27"/>
        <v>51.872317851260213</v>
      </c>
      <c r="Q49" s="49">
        <f t="shared" si="10"/>
        <v>1.1543623478668029E-8</v>
      </c>
      <c r="R49" s="8">
        <f t="shared" si="11"/>
        <v>1.4612181618567126</v>
      </c>
      <c r="S49" s="8">
        <f t="shared" si="18"/>
        <v>1.5978013153790249</v>
      </c>
      <c r="T49" s="50">
        <f t="shared" si="19"/>
        <v>1.2622630391494297E-8</v>
      </c>
      <c r="U49" s="57">
        <f t="shared" si="12"/>
        <v>1.1543623478668033E-8</v>
      </c>
      <c r="V49" s="8">
        <f t="shared" si="13"/>
        <v>1.461218161856713</v>
      </c>
      <c r="W49" s="8">
        <f t="shared" si="20"/>
        <v>1.5978013153790254</v>
      </c>
      <c r="X49" s="50">
        <f t="shared" si="21"/>
        <v>1.26226303914943E-8</v>
      </c>
      <c r="Y49" s="57">
        <f t="shared" si="14"/>
        <v>1.1543623478668023E-8</v>
      </c>
      <c r="Z49" s="8">
        <f t="shared" si="15"/>
        <v>1.4612181618567117</v>
      </c>
      <c r="AA49" s="8">
        <f t="shared" si="22"/>
        <v>1.5978013153790238</v>
      </c>
      <c r="AB49" s="50">
        <f t="shared" si="23"/>
        <v>1.2622630391494288E-8</v>
      </c>
      <c r="AC49" s="49">
        <f t="shared" si="16"/>
        <v>1.0464897880144225E-8</v>
      </c>
      <c r="AD49" s="8">
        <f t="shared" si="17"/>
        <v>1.3246706177397753</v>
      </c>
      <c r="AE49" s="8">
        <f t="shared" si="24"/>
        <v>1.4516987357856912</v>
      </c>
      <c r="AF49" s="50">
        <f t="shared" si="25"/>
        <v>1.146842001270696E-8</v>
      </c>
    </row>
    <row r="50" spans="1:32" s="22" customFormat="1">
      <c r="A50" s="22">
        <f t="shared" si="5"/>
        <v>1979</v>
      </c>
      <c r="B50" s="23"/>
      <c r="C50" s="24">
        <v>2.4900000000000001E-8</v>
      </c>
      <c r="D50" s="25"/>
      <c r="E50" s="22">
        <v>0.51</v>
      </c>
      <c r="F50" s="22">
        <v>0.52900000000000003</v>
      </c>
      <c r="I50" s="22">
        <v>1.31E-8</v>
      </c>
      <c r="J50" s="22">
        <v>4.1664556962025317E-9</v>
      </c>
      <c r="K50" s="14">
        <f t="shared" si="26"/>
        <v>46.76646101709845</v>
      </c>
      <c r="L50" s="14">
        <f t="shared" si="7"/>
        <v>54.910299260014256</v>
      </c>
      <c r="M50" s="14">
        <f t="shared" si="8"/>
        <v>51.900510129452009</v>
      </c>
      <c r="N50" s="22">
        <v>0.50240000000000007</v>
      </c>
      <c r="O50" s="14">
        <f t="shared" si="27"/>
        <v>51.386621991229688</v>
      </c>
      <c r="Q50" s="49">
        <f t="shared" si="10"/>
        <v>2.2520939816527768E-8</v>
      </c>
      <c r="R50" s="8">
        <f t="shared" si="11"/>
        <v>1.7191557111853257</v>
      </c>
      <c r="S50" s="8">
        <f t="shared" si="18"/>
        <v>1.8798488332385204</v>
      </c>
      <c r="T50" s="50">
        <f t="shared" si="19"/>
        <v>2.4626019715424615E-8</v>
      </c>
      <c r="U50" s="57">
        <f t="shared" si="12"/>
        <v>2.2520939816527774E-8</v>
      </c>
      <c r="V50" s="8">
        <f t="shared" si="13"/>
        <v>1.7191557111853264</v>
      </c>
      <c r="W50" s="8">
        <f t="shared" si="20"/>
        <v>1.879848833238521</v>
      </c>
      <c r="X50" s="50">
        <f t="shared" si="21"/>
        <v>2.4626019715424625E-8</v>
      </c>
      <c r="Y50" s="57">
        <f t="shared" si="14"/>
        <v>2.2520939816527751E-8</v>
      </c>
      <c r="Z50" s="8">
        <f t="shared" si="15"/>
        <v>1.7191557111853246</v>
      </c>
      <c r="AA50" s="8">
        <f t="shared" si="22"/>
        <v>1.8798488332385188</v>
      </c>
      <c r="AB50" s="50">
        <f t="shared" si="23"/>
        <v>2.4626019715424595E-8</v>
      </c>
      <c r="AC50" s="49">
        <f t="shared" si="16"/>
        <v>2.4386969933000537E-8</v>
      </c>
      <c r="AD50" s="8">
        <f t="shared" si="17"/>
        <v>1.8616007582443157</v>
      </c>
      <c r="AE50" s="8">
        <f t="shared" si="24"/>
        <v>2.0401173175351928</v>
      </c>
      <c r="AF50" s="50">
        <f t="shared" si="25"/>
        <v>2.6725536859711024E-8</v>
      </c>
    </row>
    <row r="51" spans="1:32" s="22" customFormat="1">
      <c r="A51" s="22">
        <f t="shared" si="5"/>
        <v>1980</v>
      </c>
      <c r="B51" s="23"/>
      <c r="C51" s="24">
        <v>4.21E-8</v>
      </c>
      <c r="D51" s="25"/>
      <c r="E51" s="22">
        <v>0.54100000000000004</v>
      </c>
      <c r="F51" s="22">
        <v>0.53600000000000003</v>
      </c>
      <c r="I51" s="22">
        <v>1.8299999999999998E-8</v>
      </c>
      <c r="J51" s="22">
        <v>8.3670886075949357E-9</v>
      </c>
      <c r="K51" s="14">
        <f t="shared" si="26"/>
        <v>49.609128255392676</v>
      </c>
      <c r="L51" s="14">
        <f t="shared" si="7"/>
        <v>58.247984116995525</v>
      </c>
      <c r="M51" s="14">
        <f t="shared" si="8"/>
        <v>55.055247019673601</v>
      </c>
      <c r="N51" s="22">
        <v>0.57020000000000004</v>
      </c>
      <c r="O51" s="14">
        <f t="shared" si="27"/>
        <v>52.066596195272425</v>
      </c>
      <c r="Q51" s="49">
        <f t="shared" si="10"/>
        <v>3.8062609245472649E-8</v>
      </c>
      <c r="R51" s="8">
        <f t="shared" si="11"/>
        <v>2.0799240024848444</v>
      </c>
      <c r="S51" s="8">
        <f t="shared" si="18"/>
        <v>2.2743389001105059</v>
      </c>
      <c r="T51" s="50">
        <f t="shared" si="19"/>
        <v>4.1620401872022256E-8</v>
      </c>
      <c r="U51" s="57">
        <f t="shared" si="12"/>
        <v>3.8062609245472655E-8</v>
      </c>
      <c r="V51" s="8">
        <f t="shared" si="13"/>
        <v>2.0799240024848449</v>
      </c>
      <c r="W51" s="8">
        <f t="shared" si="20"/>
        <v>2.2743389001105063</v>
      </c>
      <c r="X51" s="50">
        <f t="shared" si="21"/>
        <v>4.1620401872022262E-8</v>
      </c>
      <c r="Y51" s="57">
        <f t="shared" si="14"/>
        <v>3.8062609245472629E-8</v>
      </c>
      <c r="Z51" s="8">
        <f t="shared" si="15"/>
        <v>2.0799240024848431</v>
      </c>
      <c r="AA51" s="8">
        <f t="shared" si="22"/>
        <v>2.2743389001105041</v>
      </c>
      <c r="AB51" s="50">
        <f t="shared" si="23"/>
        <v>4.1620401872022223E-8</v>
      </c>
      <c r="AC51" s="49">
        <f t="shared" si="16"/>
        <v>4.3150701521341448E-8</v>
      </c>
      <c r="AD51" s="8">
        <f t="shared" si="17"/>
        <v>2.3579618317672923</v>
      </c>
      <c r="AE51" s="8">
        <f t="shared" si="24"/>
        <v>2.5840764974828869</v>
      </c>
      <c r="AF51" s="50">
        <f t="shared" si="25"/>
        <v>4.7288599903936828E-8</v>
      </c>
    </row>
    <row r="52" spans="1:32" s="22" customFormat="1">
      <c r="A52" s="22">
        <f t="shared" si="5"/>
        <v>1981</v>
      </c>
      <c r="B52" s="23"/>
      <c r="C52" s="24">
        <v>8.2599999999999998E-8</v>
      </c>
      <c r="D52" s="25"/>
      <c r="E52" s="22">
        <v>0.51900000000000002</v>
      </c>
      <c r="F52" s="22">
        <v>0.54600000000000004</v>
      </c>
      <c r="I52" s="22">
        <v>4.4099999999999998E-8</v>
      </c>
      <c r="J52" s="22">
        <v>1.7107594936708861E-8</v>
      </c>
      <c r="K52" s="14">
        <f t="shared" si="26"/>
        <v>47.591751505635486</v>
      </c>
      <c r="L52" s="14">
        <f t="shared" si="7"/>
        <v>55.879304541073338</v>
      </c>
      <c r="M52" s="14">
        <f t="shared" si="8"/>
        <v>52.816401484677627</v>
      </c>
      <c r="N52" s="22">
        <v>0.62909999999999999</v>
      </c>
      <c r="O52" s="14">
        <f t="shared" si="27"/>
        <v>53.037987915333481</v>
      </c>
      <c r="Q52" s="49">
        <f t="shared" si="10"/>
        <v>7.4899416623033683E-8</v>
      </c>
      <c r="R52" s="8">
        <f t="shared" si="11"/>
        <v>1.6983994699100609</v>
      </c>
      <c r="S52" s="8">
        <f t="shared" si="18"/>
        <v>1.8571524621711077</v>
      </c>
      <c r="T52" s="50">
        <f t="shared" si="19"/>
        <v>8.1900423581745853E-8</v>
      </c>
      <c r="U52" s="57">
        <f t="shared" si="12"/>
        <v>7.4899416623033696E-8</v>
      </c>
      <c r="V52" s="8">
        <f t="shared" si="13"/>
        <v>1.6983994699100613</v>
      </c>
      <c r="W52" s="8">
        <f t="shared" si="20"/>
        <v>1.8571524621711082</v>
      </c>
      <c r="X52" s="50">
        <f t="shared" si="21"/>
        <v>8.1900423581745866E-8</v>
      </c>
      <c r="Y52" s="57">
        <f t="shared" si="14"/>
        <v>7.4899416623033643E-8</v>
      </c>
      <c r="Z52" s="8">
        <f t="shared" si="15"/>
        <v>1.69839946991006</v>
      </c>
      <c r="AA52" s="8">
        <f t="shared" si="22"/>
        <v>1.8571524621711064</v>
      </c>
      <c r="AB52" s="50">
        <f t="shared" si="23"/>
        <v>8.1900423581745786E-8</v>
      </c>
      <c r="AC52" s="49">
        <f t="shared" si="16"/>
        <v>7.9966848169128149E-8</v>
      </c>
      <c r="AD52" s="8">
        <f t="shared" si="17"/>
        <v>1.8133072147194593</v>
      </c>
      <c r="AE52" s="8">
        <f t="shared" si="24"/>
        <v>1.9871927073394395</v>
      </c>
      <c r="AF52" s="50">
        <f t="shared" si="25"/>
        <v>8.7635198393669276E-8</v>
      </c>
    </row>
    <row r="53" spans="1:32" s="22" customFormat="1">
      <c r="A53" s="22">
        <f t="shared" si="5"/>
        <v>1982</v>
      </c>
      <c r="B53" s="23"/>
      <c r="C53" s="24">
        <v>2.0800000000000001E-7</v>
      </c>
      <c r="D53" s="25"/>
      <c r="E53" s="22">
        <v>0.54299999999999993</v>
      </c>
      <c r="F53" s="22">
        <v>0.57799999999999996</v>
      </c>
      <c r="I53" s="22">
        <v>2.16E-7</v>
      </c>
      <c r="J53" s="22">
        <v>4.529113924050633E-8</v>
      </c>
      <c r="K53" s="14">
        <f t="shared" si="26"/>
        <v>49.792526141734228</v>
      </c>
      <c r="L53" s="14">
        <f t="shared" si="7"/>
        <v>58.463318623897528</v>
      </c>
      <c r="M53" s="14">
        <f t="shared" si="8"/>
        <v>55.258778431945942</v>
      </c>
      <c r="N53" s="22">
        <v>0.66780000000000006</v>
      </c>
      <c r="O53" s="14">
        <f t="shared" si="27"/>
        <v>56.146441419528841</v>
      </c>
      <c r="Q53" s="49">
        <f t="shared" si="10"/>
        <v>1.8900735985369761E-7</v>
      </c>
      <c r="R53" s="8">
        <f t="shared" si="11"/>
        <v>0.87503407339674821</v>
      </c>
      <c r="S53" s="8">
        <f t="shared" si="18"/>
        <v>0.95682535980680727</v>
      </c>
      <c r="T53" s="50">
        <f t="shared" si="19"/>
        <v>2.0667427771827037E-7</v>
      </c>
      <c r="U53" s="57">
        <f t="shared" si="12"/>
        <v>1.8900735985369767E-7</v>
      </c>
      <c r="V53" s="8">
        <f t="shared" si="13"/>
        <v>0.87503407339674844</v>
      </c>
      <c r="W53" s="8">
        <f t="shared" si="20"/>
        <v>0.9568253598068075</v>
      </c>
      <c r="X53" s="50">
        <f t="shared" si="21"/>
        <v>2.0667427771827043E-7</v>
      </c>
      <c r="Y53" s="57">
        <f t="shared" si="14"/>
        <v>1.8900735985369753E-7</v>
      </c>
      <c r="Z53" s="8">
        <f t="shared" si="15"/>
        <v>0.87503407339674788</v>
      </c>
      <c r="AA53" s="8">
        <f t="shared" si="22"/>
        <v>0.95682535980680683</v>
      </c>
      <c r="AB53" s="50">
        <f t="shared" si="23"/>
        <v>2.0667427771827027E-7</v>
      </c>
      <c r="AC53" s="49">
        <f t="shared" si="16"/>
        <v>1.994378279316774E-7</v>
      </c>
      <c r="AD53" s="8">
        <f t="shared" si="17"/>
        <v>0.92332327746146947</v>
      </c>
      <c r="AE53" s="8">
        <f t="shared" si="24"/>
        <v>1.0118645470519738</v>
      </c>
      <c r="AF53" s="50">
        <f t="shared" si="25"/>
        <v>2.1856274216322636E-7</v>
      </c>
    </row>
    <row r="54" spans="1:32" s="22" customFormat="1">
      <c r="A54" s="22">
        <f t="shared" si="5"/>
        <v>1983</v>
      </c>
      <c r="B54" s="23"/>
      <c r="C54" s="24">
        <v>9.02E-7</v>
      </c>
      <c r="D54" s="25"/>
      <c r="E54" s="22">
        <v>0.57299999999999995</v>
      </c>
      <c r="F54" s="22">
        <v>0.61299999999999999</v>
      </c>
      <c r="I54" s="22">
        <v>1.0529999999999999E-6</v>
      </c>
      <c r="J54" s="22">
        <v>2.0101265822784808E-7</v>
      </c>
      <c r="K54" s="14">
        <f t="shared" si="26"/>
        <v>52.543494436857671</v>
      </c>
      <c r="L54" s="14">
        <f t="shared" si="7"/>
        <v>61.693336227427778</v>
      </c>
      <c r="M54" s="14">
        <f t="shared" si="8"/>
        <v>58.311749616031356</v>
      </c>
      <c r="N54" s="22">
        <v>0.68930000000000002</v>
      </c>
      <c r="O54" s="14">
        <f t="shared" si="27"/>
        <v>59.546312439742522</v>
      </c>
      <c r="Q54" s="49">
        <f t="shared" si="10"/>
        <v>8.1677955355415162E-7</v>
      </c>
      <c r="R54" s="8">
        <f t="shared" si="11"/>
        <v>0.77566909169435105</v>
      </c>
      <c r="S54" s="8">
        <f t="shared" si="18"/>
        <v>0.84817252300866219</v>
      </c>
      <c r="T54" s="50">
        <f t="shared" si="19"/>
        <v>8.9312566672812117E-7</v>
      </c>
      <c r="U54" s="57">
        <f t="shared" si="12"/>
        <v>8.1677955355415204E-7</v>
      </c>
      <c r="V54" s="8">
        <f t="shared" si="13"/>
        <v>0.7756690916943515</v>
      </c>
      <c r="W54" s="8">
        <f t="shared" si="20"/>
        <v>0.84817252300866264</v>
      </c>
      <c r="X54" s="50">
        <f t="shared" si="21"/>
        <v>8.931256667281217E-7</v>
      </c>
      <c r="Y54" s="57">
        <f t="shared" si="14"/>
        <v>8.1677955355415141E-7</v>
      </c>
      <c r="Z54" s="8">
        <f t="shared" si="15"/>
        <v>0.77566909169435083</v>
      </c>
      <c r="AA54" s="8">
        <f t="shared" si="22"/>
        <v>0.84817252300866186</v>
      </c>
      <c r="AB54" s="50">
        <f t="shared" si="23"/>
        <v>8.9312566672812086E-7</v>
      </c>
      <c r="AC54" s="49">
        <f t="shared" si="16"/>
        <v>8.5754285688896634E-7</v>
      </c>
      <c r="AD54" s="8">
        <f t="shared" si="17"/>
        <v>0.81438068080623593</v>
      </c>
      <c r="AE54" s="8">
        <f t="shared" si="24"/>
        <v>0.89247499638204186</v>
      </c>
      <c r="AF54" s="50">
        <f t="shared" si="25"/>
        <v>9.3977617119029002E-7</v>
      </c>
    </row>
    <row r="55" spans="1:32" s="22" customFormat="1">
      <c r="A55" s="22">
        <f t="shared" si="5"/>
        <v>1984</v>
      </c>
      <c r="B55" s="23"/>
      <c r="C55" s="24">
        <v>6.5899999999999996E-6</v>
      </c>
      <c r="D55" s="25"/>
      <c r="E55" s="22">
        <v>0.56899999999999995</v>
      </c>
      <c r="F55" s="22">
        <v>0.63800000000000001</v>
      </c>
      <c r="I55" s="22">
        <v>6.7700000000000004E-6</v>
      </c>
      <c r="J55" s="22">
        <v>1.4607594936708861E-6</v>
      </c>
      <c r="K55" s="14">
        <f t="shared" si="26"/>
        <v>52.176698664174545</v>
      </c>
      <c r="L55" s="14">
        <f t="shared" si="7"/>
        <v>61.262667213623743</v>
      </c>
      <c r="M55" s="14">
        <f t="shared" si="8"/>
        <v>57.90468679148664</v>
      </c>
      <c r="N55" s="22">
        <v>0.71900000000000008</v>
      </c>
      <c r="O55" s="14">
        <f t="shared" si="27"/>
        <v>61.974791739895153</v>
      </c>
      <c r="Q55" s="49">
        <f t="shared" si="10"/>
        <v>5.9640615410304868E-6</v>
      </c>
      <c r="R55" s="8">
        <f t="shared" si="11"/>
        <v>0.88095443737525647</v>
      </c>
      <c r="S55" s="8">
        <f t="shared" si="18"/>
        <v>0.96329911273386037</v>
      </c>
      <c r="T55" s="50">
        <f t="shared" si="19"/>
        <v>6.5215349932082349E-6</v>
      </c>
      <c r="U55" s="57">
        <f t="shared" si="12"/>
        <v>5.9640615410304893E-6</v>
      </c>
      <c r="V55" s="8">
        <f t="shared" si="13"/>
        <v>0.88095443737525692</v>
      </c>
      <c r="W55" s="8">
        <f t="shared" si="20"/>
        <v>0.96329911273386093</v>
      </c>
      <c r="X55" s="50">
        <f t="shared" si="21"/>
        <v>6.5215349932082392E-6</v>
      </c>
      <c r="Y55" s="57">
        <f t="shared" si="14"/>
        <v>5.9640615410304842E-6</v>
      </c>
      <c r="Z55" s="8">
        <f t="shared" si="15"/>
        <v>0.88095443737525614</v>
      </c>
      <c r="AA55" s="8">
        <f t="shared" si="22"/>
        <v>0.96329911273385993</v>
      </c>
      <c r="AB55" s="50">
        <f t="shared" si="23"/>
        <v>6.5215349932082324E-6</v>
      </c>
      <c r="AC55" s="49">
        <f t="shared" si="16"/>
        <v>5.9743482245720972E-6</v>
      </c>
      <c r="AD55" s="8">
        <f t="shared" si="17"/>
        <v>0.88247388841537622</v>
      </c>
      <c r="AE55" s="8">
        <f t="shared" si="24"/>
        <v>0.96709794194902832</v>
      </c>
      <c r="AF55" s="50">
        <f t="shared" si="25"/>
        <v>6.5472530669949221E-6</v>
      </c>
    </row>
    <row r="56" spans="1:32" s="22" customFormat="1">
      <c r="A56" s="22">
        <f t="shared" si="5"/>
        <v>1985</v>
      </c>
      <c r="B56" s="23"/>
      <c r="C56" s="24">
        <v>5.4200000000000003E-5</v>
      </c>
      <c r="D56" s="25"/>
      <c r="E56" s="22">
        <v>0.53700000000000003</v>
      </c>
      <c r="F56" s="22">
        <v>0.66500000000000004</v>
      </c>
      <c r="I56" s="22">
        <v>6.0000000000000002E-5</v>
      </c>
      <c r="J56" s="22">
        <v>1.1278481012658227E-5</v>
      </c>
      <c r="K56" s="14">
        <f t="shared" si="26"/>
        <v>49.24233248270955</v>
      </c>
      <c r="L56" s="14">
        <f t="shared" si="7"/>
        <v>57.817315103191483</v>
      </c>
      <c r="M56" s="14">
        <f t="shared" si="8"/>
        <v>54.64818419512887</v>
      </c>
      <c r="N56" s="22">
        <v>0.74459999999999993</v>
      </c>
      <c r="O56" s="14">
        <f t="shared" si="27"/>
        <v>64.597549384060002</v>
      </c>
      <c r="Q56" s="49">
        <f t="shared" si="10"/>
        <v>4.9108742906009576E-5</v>
      </c>
      <c r="R56" s="8">
        <f t="shared" si="11"/>
        <v>0.81847904843349295</v>
      </c>
      <c r="S56" s="8">
        <f t="shared" si="18"/>
        <v>0.894984016989961</v>
      </c>
      <c r="T56" s="50">
        <f t="shared" si="19"/>
        <v>5.3699041019397658E-5</v>
      </c>
      <c r="U56" s="57">
        <f t="shared" si="12"/>
        <v>4.9108742906009583E-5</v>
      </c>
      <c r="V56" s="8">
        <f t="shared" si="13"/>
        <v>0.81847904843349306</v>
      </c>
      <c r="W56" s="8">
        <f t="shared" si="20"/>
        <v>0.89498401698996122</v>
      </c>
      <c r="X56" s="50">
        <f t="shared" si="21"/>
        <v>5.3699041019397672E-5</v>
      </c>
      <c r="Y56" s="57">
        <f t="shared" si="14"/>
        <v>4.9108742906009555E-5</v>
      </c>
      <c r="Z56" s="8">
        <f t="shared" si="15"/>
        <v>0.81847904843349262</v>
      </c>
      <c r="AA56" s="8">
        <f t="shared" si="22"/>
        <v>0.89498401698996055</v>
      </c>
      <c r="AB56" s="50">
        <f t="shared" si="23"/>
        <v>5.3699041019397631E-5</v>
      </c>
      <c r="AC56" s="49">
        <f t="shared" si="16"/>
        <v>4.4541853613601983E-5</v>
      </c>
      <c r="AD56" s="8">
        <f t="shared" si="17"/>
        <v>0.74236422689336634</v>
      </c>
      <c r="AE56" s="8">
        <f t="shared" si="24"/>
        <v>0.81355258827468635</v>
      </c>
      <c r="AF56" s="50">
        <f t="shared" si="25"/>
        <v>4.8813155296481182E-5</v>
      </c>
    </row>
    <row r="57" spans="1:32" s="22" customFormat="1">
      <c r="A57" s="22">
        <f t="shared" si="5"/>
        <v>1986</v>
      </c>
      <c r="B57" s="23"/>
      <c r="C57" s="24">
        <v>9.0400000000000002E-5</v>
      </c>
      <c r="D57" s="25"/>
      <c r="E57" s="22">
        <v>0.629</v>
      </c>
      <c r="F57" s="22">
        <v>0.69599999999999995</v>
      </c>
      <c r="I57" s="22">
        <v>9.4199999999999999E-5</v>
      </c>
      <c r="J57" s="22">
        <v>2.1443037974683542E-5</v>
      </c>
      <c r="K57" s="14">
        <f t="shared" si="26"/>
        <v>57.67863525442143</v>
      </c>
      <c r="L57" s="14">
        <f t="shared" si="7"/>
        <v>67.722702420684257</v>
      </c>
      <c r="M57" s="14">
        <f t="shared" si="8"/>
        <v>64.010629159657469</v>
      </c>
      <c r="N57" s="22">
        <v>0.75849999999999995</v>
      </c>
      <c r="O57" s="14">
        <f t="shared" si="27"/>
        <v>67.60886371624926</v>
      </c>
      <c r="Q57" s="49">
        <f t="shared" si="10"/>
        <v>8.1897981945565324E-5</v>
      </c>
      <c r="R57" s="8">
        <f t="shared" si="11"/>
        <v>0.86940532850918606</v>
      </c>
      <c r="S57" s="8">
        <f t="shared" si="18"/>
        <v>0.9506704842241962</v>
      </c>
      <c r="T57" s="50">
        <f t="shared" si="19"/>
        <v>8.9553159613919278E-5</v>
      </c>
      <c r="U57" s="57">
        <f t="shared" si="12"/>
        <v>8.1897981945565338E-5</v>
      </c>
      <c r="V57" s="8">
        <f t="shared" si="13"/>
        <v>0.86940532850918617</v>
      </c>
      <c r="W57" s="8">
        <f t="shared" si="20"/>
        <v>0.95067048422419631</v>
      </c>
      <c r="X57" s="50">
        <f t="shared" si="21"/>
        <v>8.9553159613919292E-5</v>
      </c>
      <c r="Y57" s="57">
        <f t="shared" si="14"/>
        <v>8.1897981945565284E-5</v>
      </c>
      <c r="Z57" s="8">
        <f t="shared" si="15"/>
        <v>0.86940532850918562</v>
      </c>
      <c r="AA57" s="8">
        <f t="shared" si="22"/>
        <v>0.95067048422419553</v>
      </c>
      <c r="AB57" s="50">
        <f t="shared" si="23"/>
        <v>8.9553159613919224E-5</v>
      </c>
      <c r="AC57" s="49">
        <f t="shared" si="16"/>
        <v>8.3132613701603333E-5</v>
      </c>
      <c r="AD57" s="8">
        <f t="shared" si="17"/>
        <v>0.88251182273464257</v>
      </c>
      <c r="AE57" s="8">
        <f t="shared" si="24"/>
        <v>0.96713951394631148</v>
      </c>
      <c r="AF57" s="50">
        <f t="shared" si="25"/>
        <v>9.1104542213742547E-5</v>
      </c>
    </row>
    <row r="58" spans="1:32" s="22" customFormat="1">
      <c r="A58" s="22">
        <f t="shared" si="5"/>
        <v>1987</v>
      </c>
      <c r="B58" s="23"/>
      <c r="C58" s="24">
        <v>2.03E-4</v>
      </c>
      <c r="D58" s="25"/>
      <c r="E58" s="22">
        <v>0.64300000000000002</v>
      </c>
      <c r="F58" s="22">
        <v>0.71599999999999997</v>
      </c>
      <c r="I58" s="22">
        <v>2.14E-4</v>
      </c>
      <c r="J58" s="22">
        <v>4.9594936708860752E-5</v>
      </c>
      <c r="K58" s="14">
        <f t="shared" si="26"/>
        <v>58.96242045881236</v>
      </c>
      <c r="L58" s="14">
        <f t="shared" si="7"/>
        <v>69.230043968998373</v>
      </c>
      <c r="M58" s="14">
        <f t="shared" si="8"/>
        <v>65.435349045563996</v>
      </c>
      <c r="N58" s="22">
        <v>0.78620000000000001</v>
      </c>
      <c r="O58" s="14">
        <f t="shared" si="27"/>
        <v>69.551647156371374</v>
      </c>
      <c r="Q58" s="49">
        <f t="shared" si="10"/>
        <v>1.8390359834365399E-4</v>
      </c>
      <c r="R58" s="8">
        <f t="shared" si="11"/>
        <v>0.85936260908249529</v>
      </c>
      <c r="S58" s="8">
        <f t="shared" si="18"/>
        <v>0.93968905056232621</v>
      </c>
      <c r="T58" s="50">
        <f t="shared" si="19"/>
        <v>2.010934568203378E-4</v>
      </c>
      <c r="U58" s="57">
        <f t="shared" si="12"/>
        <v>1.8390359834365402E-4</v>
      </c>
      <c r="V58" s="8">
        <f t="shared" si="13"/>
        <v>0.8593626090824954</v>
      </c>
      <c r="W58" s="8">
        <f t="shared" si="20"/>
        <v>0.93968905056232632</v>
      </c>
      <c r="X58" s="50">
        <f t="shared" si="21"/>
        <v>2.0109345682033783E-4</v>
      </c>
      <c r="Y58" s="57">
        <f t="shared" si="14"/>
        <v>1.8390359834365388E-4</v>
      </c>
      <c r="Z58" s="8">
        <f t="shared" si="15"/>
        <v>0.85936260908249484</v>
      </c>
      <c r="AA58" s="8">
        <f t="shared" si="22"/>
        <v>0.93968905056232566</v>
      </c>
      <c r="AB58" s="50">
        <f t="shared" si="23"/>
        <v>2.010934568203377E-4</v>
      </c>
      <c r="AC58" s="49">
        <f t="shared" si="16"/>
        <v>1.8550046657578315E-4</v>
      </c>
      <c r="AD58" s="8">
        <f t="shared" si="17"/>
        <v>0.86682461016721102</v>
      </c>
      <c r="AE58" s="8">
        <f t="shared" si="24"/>
        <v>0.94994798999524921</v>
      </c>
      <c r="AF58" s="50">
        <f t="shared" si="25"/>
        <v>2.0328886985898333E-4</v>
      </c>
    </row>
    <row r="59" spans="1:32" s="22" customFormat="1">
      <c r="A59" s="22">
        <f t="shared" si="5"/>
        <v>1988</v>
      </c>
      <c r="B59" s="23"/>
      <c r="C59" s="24">
        <v>9.6900000000000003E-4</v>
      </c>
      <c r="D59" s="25"/>
      <c r="E59" s="22">
        <v>0.59</v>
      </c>
      <c r="F59" s="22">
        <v>0.73699999999999999</v>
      </c>
      <c r="I59" s="22">
        <v>8.7100000000000003E-4</v>
      </c>
      <c r="J59" s="22">
        <v>2.1968354430379746E-4</v>
      </c>
      <c r="K59" s="14">
        <f t="shared" si="26"/>
        <v>54.102376470760944</v>
      </c>
      <c r="L59" s="14">
        <f t="shared" si="7"/>
        <v>63.523679536094917</v>
      </c>
      <c r="M59" s="14">
        <f t="shared" si="8"/>
        <v>60.041766620346422</v>
      </c>
      <c r="N59" s="22">
        <v>0.81870000000000009</v>
      </c>
      <c r="O59" s="14">
        <f t="shared" si="27"/>
        <v>71.591569768499596</v>
      </c>
      <c r="Q59" s="49">
        <f t="shared" si="10"/>
        <v>8.7755044180978412E-4</v>
      </c>
      <c r="R59" s="8">
        <f t="shared" si="11"/>
        <v>1.0075205990927487</v>
      </c>
      <c r="S59" s="8">
        <f t="shared" si="18"/>
        <v>1.1016956814007328</v>
      </c>
      <c r="T59" s="50">
        <f t="shared" si="19"/>
        <v>9.5957693850003828E-4</v>
      </c>
      <c r="U59" s="57">
        <f t="shared" si="12"/>
        <v>8.7755044180978423E-4</v>
      </c>
      <c r="V59" s="8">
        <f t="shared" si="13"/>
        <v>1.0075205990927487</v>
      </c>
      <c r="W59" s="8">
        <f t="shared" si="20"/>
        <v>1.1016956814007328</v>
      </c>
      <c r="X59" s="50">
        <f t="shared" si="21"/>
        <v>9.5957693850003828E-4</v>
      </c>
      <c r="Y59" s="57">
        <f t="shared" si="14"/>
        <v>8.775504418097838E-4</v>
      </c>
      <c r="Z59" s="8">
        <f t="shared" si="15"/>
        <v>1.0075205990927483</v>
      </c>
      <c r="AA59" s="8">
        <f t="shared" si="22"/>
        <v>1.1016956814007322</v>
      </c>
      <c r="AB59" s="50">
        <f t="shared" si="23"/>
        <v>9.5957693850003774E-4</v>
      </c>
      <c r="AC59" s="49">
        <f t="shared" si="16"/>
        <v>7.8906620210895343E-4</v>
      </c>
      <c r="AD59" s="8">
        <f t="shared" si="17"/>
        <v>0.90593134570488332</v>
      </c>
      <c r="AE59" s="8">
        <f t="shared" si="24"/>
        <v>0.99280483137187037</v>
      </c>
      <c r="AF59" s="50">
        <f t="shared" si="25"/>
        <v>8.647330081248991E-4</v>
      </c>
    </row>
    <row r="60" spans="1:32" s="22" customFormat="1">
      <c r="A60" s="22">
        <f>A61-1</f>
        <v>1989</v>
      </c>
      <c r="B60" s="23"/>
      <c r="C60" s="24">
        <v>2.9700000000000001E-2</v>
      </c>
      <c r="D60" s="25"/>
      <c r="E60" s="22">
        <v>0.58499999999999996</v>
      </c>
      <c r="F60" s="22">
        <v>0.73899999999999999</v>
      </c>
      <c r="I60" s="22">
        <v>3.9399999999999998E-2</v>
      </c>
      <c r="J60" s="22">
        <v>6.9873417721518991E-3</v>
      </c>
      <c r="K60" s="14">
        <f t="shared" si="26"/>
        <v>53.643881754907042</v>
      </c>
      <c r="L60" s="14">
        <f t="shared" si="7"/>
        <v>62.985343268839877</v>
      </c>
      <c r="M60" s="14">
        <f t="shared" si="8"/>
        <v>59.532938089665521</v>
      </c>
      <c r="N60" s="22">
        <v>0.85809999999999997</v>
      </c>
      <c r="O60" s="14">
        <f t="shared" si="27"/>
        <v>71.7858481125118</v>
      </c>
      <c r="Q60" s="49">
        <f t="shared" si="10"/>
        <v>2.6930631256983199E-2</v>
      </c>
      <c r="R60" s="8">
        <f t="shared" si="11"/>
        <v>0.68351855982190868</v>
      </c>
      <c r="S60" s="8">
        <f t="shared" si="18"/>
        <v>0.74740848593183351</v>
      </c>
      <c r="T60" s="50">
        <f t="shared" si="19"/>
        <v>2.9447894345714237E-2</v>
      </c>
      <c r="U60" s="57">
        <f t="shared" si="12"/>
        <v>2.6930631256983206E-2</v>
      </c>
      <c r="V60" s="8">
        <f t="shared" si="13"/>
        <v>0.68351855982190879</v>
      </c>
      <c r="W60" s="8">
        <f t="shared" si="20"/>
        <v>0.74740848593183362</v>
      </c>
      <c r="X60" s="50">
        <f t="shared" si="21"/>
        <v>2.9447894345714244E-2</v>
      </c>
      <c r="Y60" s="57">
        <f t="shared" si="14"/>
        <v>2.6930631256983188E-2</v>
      </c>
      <c r="Z60" s="8">
        <f t="shared" si="15"/>
        <v>0.68351855982190834</v>
      </c>
      <c r="AA60" s="8">
        <f t="shared" si="22"/>
        <v>0.74740848593183307</v>
      </c>
      <c r="AB60" s="50">
        <f t="shared" si="23"/>
        <v>2.944789434571422E-2</v>
      </c>
      <c r="AC60" s="49">
        <f t="shared" si="16"/>
        <v>2.3944997160850624E-2</v>
      </c>
      <c r="AD60" s="8">
        <f t="shared" si="17"/>
        <v>0.60774104469164025</v>
      </c>
      <c r="AE60" s="8">
        <f t="shared" si="24"/>
        <v>0.66601983500568906</v>
      </c>
      <c r="AF60" s="50">
        <f t="shared" si="25"/>
        <v>2.6241181499224147E-2</v>
      </c>
    </row>
    <row r="61" spans="1:32">
      <c r="A61">
        <v>1990</v>
      </c>
      <c r="B61" s="7"/>
      <c r="C61" s="8">
        <v>0.73299999999999998</v>
      </c>
      <c r="D61" s="9"/>
      <c r="E61">
        <v>0.55899999999999994</v>
      </c>
      <c r="F61">
        <v>0.76100000000000001</v>
      </c>
      <c r="H61" s="17"/>
      <c r="I61">
        <v>0.44900000000000001</v>
      </c>
      <c r="J61">
        <v>0.16858591685018604</v>
      </c>
      <c r="K61" s="14">
        <f t="shared" si="26"/>
        <v>51.259709232466726</v>
      </c>
      <c r="L61" s="14">
        <f t="shared" si="7"/>
        <v>60.185994679113662</v>
      </c>
      <c r="M61" s="14">
        <f t="shared" si="8"/>
        <v>56.88702973012483</v>
      </c>
      <c r="N61">
        <v>0.90450000000000008</v>
      </c>
      <c r="O61">
        <v>73.922909896646118</v>
      </c>
      <c r="Q61" s="49">
        <f t="shared" si="10"/>
        <v>0.66430794495813739</v>
      </c>
      <c r="R61" s="8">
        <f t="shared" si="11"/>
        <v>1.4795277170559853</v>
      </c>
      <c r="S61" s="8">
        <f t="shared" si="18"/>
        <v>1.6178223034457415</v>
      </c>
      <c r="T61" s="50">
        <f t="shared" si="19"/>
        <v>0.72640221424713791</v>
      </c>
      <c r="U61" s="57">
        <f t="shared" si="12"/>
        <v>0.6643079449581375</v>
      </c>
      <c r="V61" s="8">
        <f t="shared" si="13"/>
        <v>1.4795277170559855</v>
      </c>
      <c r="W61" s="8">
        <f t="shared" si="20"/>
        <v>1.6178223034457417</v>
      </c>
      <c r="X61" s="50">
        <f t="shared" si="21"/>
        <v>0.72640221424713802</v>
      </c>
      <c r="Y61" s="57">
        <f t="shared" si="14"/>
        <v>0.66430794495813716</v>
      </c>
      <c r="Z61" s="8">
        <f t="shared" si="15"/>
        <v>1.4795277170559848</v>
      </c>
      <c r="AA61" s="8">
        <f t="shared" si="22"/>
        <v>1.6178223034457409</v>
      </c>
      <c r="AB61" s="50">
        <f t="shared" si="23"/>
        <v>0.72640221424713769</v>
      </c>
      <c r="AC61" s="49">
        <f t="shared" si="16"/>
        <v>0.54809195365948493</v>
      </c>
      <c r="AD61" s="8">
        <f t="shared" si="17"/>
        <v>1.2206947742972938</v>
      </c>
      <c r="AE61" s="8">
        <f t="shared" si="24"/>
        <v>1.3377522207378627</v>
      </c>
      <c r="AF61" s="50">
        <f t="shared" si="25"/>
        <v>0.6006507471113004</v>
      </c>
    </row>
    <row r="62" spans="1:32">
      <c r="A62" s="1">
        <v>1991</v>
      </c>
      <c r="B62" s="7">
        <v>0.95</v>
      </c>
      <c r="C62" s="8">
        <v>1.69</v>
      </c>
      <c r="D62" s="9">
        <v>1.59</v>
      </c>
      <c r="E62" s="17">
        <v>0.64700000000000002</v>
      </c>
      <c r="F62" s="17"/>
      <c r="G62" s="17"/>
      <c r="H62" s="17"/>
      <c r="I62">
        <v>0.95</v>
      </c>
      <c r="J62">
        <v>0.45800022532925971</v>
      </c>
      <c r="K62" s="14">
        <f t="shared" si="26"/>
        <v>59.329216231495479</v>
      </c>
      <c r="L62" s="14">
        <f>L63*K62/K63</f>
        <v>69.660712982802394</v>
      </c>
      <c r="M62" s="14">
        <f>M63*K62/K63</f>
        <v>65.842411870108705</v>
      </c>
      <c r="N62">
        <v>0.9426000000000001</v>
      </c>
      <c r="O62">
        <v>75.612484197945889</v>
      </c>
      <c r="Q62" s="49">
        <f>I$5*((J62/J$5)/(N62/N$5))*((O62/O$5)/(K62/K$5))</f>
        <v>1.5304423035071915</v>
      </c>
      <c r="R62" s="8">
        <f t="shared" si="11"/>
        <v>1.6109918984286227</v>
      </c>
      <c r="S62" s="8">
        <f t="shared" si="18"/>
        <v>1.7615747200291214</v>
      </c>
      <c r="T62" s="50">
        <f t="shared" si="19"/>
        <v>1.6734959840276653</v>
      </c>
      <c r="U62" s="57">
        <f t="shared" si="12"/>
        <v>1.5304423035071917</v>
      </c>
      <c r="V62" s="8">
        <f t="shared" si="13"/>
        <v>1.6109918984286229</v>
      </c>
      <c r="W62" s="8">
        <f t="shared" si="20"/>
        <v>1.7615747200291216</v>
      </c>
      <c r="X62" s="50">
        <f t="shared" si="21"/>
        <v>1.6734959840276655</v>
      </c>
      <c r="Y62" s="57">
        <f t="shared" si="14"/>
        <v>1.5304423035071908</v>
      </c>
      <c r="Z62" s="8">
        <f t="shared" si="15"/>
        <v>1.610991898428622</v>
      </c>
      <c r="AA62" s="8">
        <f t="shared" si="22"/>
        <v>1.7615747200291205</v>
      </c>
      <c r="AB62" s="50">
        <f t="shared" si="23"/>
        <v>1.6734959840276644</v>
      </c>
      <c r="AC62" s="49">
        <f t="shared" si="16"/>
        <v>1.4288247409084183</v>
      </c>
      <c r="AD62" s="8">
        <f t="shared" si="17"/>
        <v>1.5040260430614929</v>
      </c>
      <c r="AE62" s="8">
        <f t="shared" si="24"/>
        <v>1.6482532910909939</v>
      </c>
      <c r="AF62" s="50">
        <f t="shared" si="25"/>
        <v>1.5658406265364442</v>
      </c>
    </row>
    <row r="63" spans="1:32">
      <c r="A63" s="1">
        <v>1992</v>
      </c>
      <c r="B63" s="7">
        <v>0.99</v>
      </c>
      <c r="C63" s="8">
        <v>1.9</v>
      </c>
      <c r="D63" s="9">
        <v>1.93</v>
      </c>
      <c r="E63" s="17">
        <v>0.73699999999999999</v>
      </c>
      <c r="F63" s="17"/>
      <c r="G63" s="17"/>
      <c r="H63" s="17"/>
      <c r="I63">
        <v>0.99</v>
      </c>
      <c r="J63">
        <v>0.57204205293199928</v>
      </c>
      <c r="K63" s="14">
        <f t="shared" si="26"/>
        <v>67.582121116865792</v>
      </c>
      <c r="L63" s="14">
        <f>L64*K63/K64</f>
        <v>79.350765793393137</v>
      </c>
      <c r="M63" s="14">
        <f>M64*K63/K64</f>
        <v>75.001325422364943</v>
      </c>
      <c r="N63">
        <v>0.97089999999999999</v>
      </c>
      <c r="O63">
        <v>79.605042850216691</v>
      </c>
      <c r="Q63" s="49">
        <f>I$5*((J63/J$5)/(N63/N$5))*((O63/O$5)/(K63/K$5))</f>
        <v>1.715204973906423</v>
      </c>
      <c r="R63" s="8">
        <f t="shared" ref="R63:R101" si="28">Q63/I63</f>
        <v>1.7325302766731545</v>
      </c>
      <c r="S63" s="8">
        <f t="shared" si="18"/>
        <v>1.8944735476630399</v>
      </c>
      <c r="T63" s="50">
        <f t="shared" si="19"/>
        <v>1.8755288121864095</v>
      </c>
      <c r="U63" s="57">
        <f>I$5*((J63/J$5)/(N63/N$5))*((O63/O$5)/(L63/L$5))</f>
        <v>1.7152049739064235</v>
      </c>
      <c r="V63" s="8">
        <f>U63/I63</f>
        <v>1.732530276673155</v>
      </c>
      <c r="W63" s="8">
        <f t="shared" si="20"/>
        <v>1.8944735476630403</v>
      </c>
      <c r="X63" s="50">
        <f t="shared" si="21"/>
        <v>1.87552881218641</v>
      </c>
      <c r="Y63" s="57">
        <f>I$5*((J63/J$5)/(N63/N$5))*((O63/O$5)/(M63/M$5))</f>
        <v>1.7152049739064221</v>
      </c>
      <c r="Z63" s="8">
        <f>Y63/I63</f>
        <v>1.7325302766731536</v>
      </c>
      <c r="AA63" s="8">
        <f t="shared" si="22"/>
        <v>1.8944735476630388</v>
      </c>
      <c r="AB63" s="50">
        <f t="shared" si="23"/>
        <v>1.8755288121864084</v>
      </c>
      <c r="AC63" s="49">
        <f>I$5*((J63/J$5)/(N63/N$5))</f>
        <v>1.7325834471393804</v>
      </c>
      <c r="AD63" s="8">
        <f>AC63/I63</f>
        <v>1.7500842900397782</v>
      </c>
      <c r="AE63" s="8">
        <f t="shared" si="24"/>
        <v>1.9179070761787149</v>
      </c>
      <c r="AF63" s="50">
        <f t="shared" si="25"/>
        <v>1.8987280054169278</v>
      </c>
    </row>
    <row r="64" spans="1:32">
      <c r="A64" s="1">
        <v>1993</v>
      </c>
      <c r="B64" s="7">
        <v>0.99</v>
      </c>
      <c r="C64" s="8">
        <v>1.97</v>
      </c>
      <c r="D64" s="9">
        <v>2.0699999999999998</v>
      </c>
      <c r="E64" s="17">
        <v>0.78500000000000003</v>
      </c>
      <c r="F64" s="17"/>
      <c r="G64" s="17"/>
      <c r="H64" s="17"/>
      <c r="I64">
        <v>0.99</v>
      </c>
      <c r="J64">
        <v>0.63274436940445666</v>
      </c>
      <c r="K64">
        <v>71.983670389063292</v>
      </c>
      <c r="L64">
        <v>84.518793959041545</v>
      </c>
      <c r="M64">
        <v>79.886079316901601</v>
      </c>
      <c r="N64">
        <v>1</v>
      </c>
      <c r="O64">
        <v>82.204164182485997</v>
      </c>
      <c r="Q64" s="49">
        <f t="shared" ref="Q64:Q101" si="29">I$5*((J64/J$5)/(N64/N$5))*((O64/O$5)/(K64/K$5))</f>
        <v>1.7858374650039197</v>
      </c>
      <c r="R64" s="8">
        <f t="shared" si="28"/>
        <v>1.8038762272766866</v>
      </c>
      <c r="S64" s="8">
        <f t="shared" si="18"/>
        <v>1.9724883552373171</v>
      </c>
      <c r="T64" s="50">
        <f t="shared" si="19"/>
        <v>1.952763471684944</v>
      </c>
      <c r="U64" s="57">
        <f t="shared" ref="U64:U101" si="30">I$5*((J64/J$5)/(N64/N$5))*((O64/O$5)/(L64/L$5))</f>
        <v>1.7858374650039202</v>
      </c>
      <c r="V64" s="8">
        <f t="shared" ref="V64:V101" si="31">U64/I64</f>
        <v>1.8038762272766871</v>
      </c>
      <c r="W64" s="8">
        <f t="shared" si="20"/>
        <v>1.9724883552373176</v>
      </c>
      <c r="X64" s="50">
        <f t="shared" si="21"/>
        <v>1.9527634716849445</v>
      </c>
      <c r="Y64" s="57">
        <f t="shared" ref="Y64:Y101" si="32">I$5*((J64/J$5)/(N64/N$5))*((O64/O$5)/(M64/M$5))</f>
        <v>1.7858374650039188</v>
      </c>
      <c r="Z64" s="8">
        <f t="shared" ref="Z64:Z101" si="33">Y64/I64</f>
        <v>1.8038762272766857</v>
      </c>
      <c r="AA64" s="8">
        <f t="shared" si="22"/>
        <v>1.9724883552373158</v>
      </c>
      <c r="AB64" s="50">
        <f t="shared" si="23"/>
        <v>1.9527634716849427</v>
      </c>
      <c r="AC64" s="49">
        <f t="shared" ref="AC64:AC101" si="34">I$5*((J64/J$5)/(N64/N$5))</f>
        <v>1.8606684540112657</v>
      </c>
      <c r="AD64" s="8">
        <f t="shared" ref="AD64:AD101" si="35">AC64/I64</f>
        <v>1.8794630848598644</v>
      </c>
      <c r="AE64" s="8">
        <f t="shared" si="24"/>
        <v>2.0596925361734888</v>
      </c>
      <c r="AF64" s="50">
        <f t="shared" si="25"/>
        <v>2.0390956108117537</v>
      </c>
    </row>
    <row r="65" spans="1:32">
      <c r="A65" s="1">
        <v>1994</v>
      </c>
      <c r="B65" s="7">
        <v>1</v>
      </c>
      <c r="C65" s="8">
        <v>1.98</v>
      </c>
      <c r="D65" s="9">
        <v>2.1</v>
      </c>
      <c r="I65">
        <v>1</v>
      </c>
      <c r="J65">
        <v>0.65917623792779523</v>
      </c>
      <c r="K65">
        <v>82.547502673017036</v>
      </c>
      <c r="L65">
        <v>99.065710366474747</v>
      </c>
      <c r="M65">
        <v>91.674682237038823</v>
      </c>
      <c r="N65">
        <v>1.026</v>
      </c>
      <c r="O65">
        <v>85.320435228066657</v>
      </c>
      <c r="Q65" s="49">
        <f t="shared" si="29"/>
        <v>1.6411834003134929</v>
      </c>
      <c r="R65" s="8">
        <f t="shared" si="28"/>
        <v>1.6411834003134929</v>
      </c>
      <c r="S65" s="8">
        <f t="shared" si="18"/>
        <v>1.7945882854803044</v>
      </c>
      <c r="T65" s="50">
        <f t="shared" si="19"/>
        <v>1.7945882854803044</v>
      </c>
      <c r="U65" s="57">
        <f t="shared" si="30"/>
        <v>1.6056726156492807</v>
      </c>
      <c r="V65" s="8">
        <f t="shared" si="31"/>
        <v>1.6056726156492807</v>
      </c>
      <c r="W65" s="8">
        <f t="shared" si="20"/>
        <v>1.7557582326328067</v>
      </c>
      <c r="X65" s="50">
        <f t="shared" si="21"/>
        <v>1.7557582326328067</v>
      </c>
      <c r="Y65" s="57">
        <f t="shared" si="32"/>
        <v>1.6400185539519381</v>
      </c>
      <c r="Z65" s="8">
        <f t="shared" si="33"/>
        <v>1.6400185539519381</v>
      </c>
      <c r="AA65" s="8">
        <f t="shared" si="22"/>
        <v>1.7933145584645231</v>
      </c>
      <c r="AB65" s="50">
        <f t="shared" si="23"/>
        <v>1.7933145584645231</v>
      </c>
      <c r="AC65" s="49">
        <f t="shared" si="34"/>
        <v>1.8892737399151365</v>
      </c>
      <c r="AD65" s="8">
        <f t="shared" si="35"/>
        <v>1.8892737399151365</v>
      </c>
      <c r="AE65" s="8">
        <f t="shared" si="24"/>
        <v>2.0704439753239012</v>
      </c>
      <c r="AF65" s="50">
        <f t="shared" si="25"/>
        <v>2.0704439753239012</v>
      </c>
    </row>
    <row r="66" spans="1:32">
      <c r="A66" s="1">
        <v>1995</v>
      </c>
      <c r="B66" s="7">
        <v>0.99</v>
      </c>
      <c r="C66" s="8">
        <v>2.0699999999999998</v>
      </c>
      <c r="D66" s="9">
        <v>2.11</v>
      </c>
      <c r="I66">
        <v>0.99</v>
      </c>
      <c r="J66">
        <v>0.68143067731108498</v>
      </c>
      <c r="K66">
        <v>84.240539046493637</v>
      </c>
      <c r="L66">
        <v>94.003400703282182</v>
      </c>
      <c r="M66">
        <v>86.088606602617219</v>
      </c>
      <c r="N66">
        <v>1.0549999999999999</v>
      </c>
      <c r="O66">
        <v>88.411072060520397</v>
      </c>
      <c r="Q66" s="49">
        <f t="shared" si="29"/>
        <v>1.6753615765989653</v>
      </c>
      <c r="R66" s="8">
        <f t="shared" si="28"/>
        <v>1.6922844208070358</v>
      </c>
      <c r="S66" s="8">
        <f t="shared" si="18"/>
        <v>1.8504658264889959</v>
      </c>
      <c r="T66" s="50">
        <f t="shared" si="19"/>
        <v>1.8319611682241059</v>
      </c>
      <c r="U66" s="57">
        <f t="shared" si="30"/>
        <v>1.7628096817870769</v>
      </c>
      <c r="V66" s="8">
        <f t="shared" si="31"/>
        <v>1.7806158401889665</v>
      </c>
      <c r="W66" s="8">
        <f t="shared" si="20"/>
        <v>1.9470537705495934</v>
      </c>
      <c r="X66" s="50">
        <f t="shared" si="21"/>
        <v>1.9275832328440974</v>
      </c>
      <c r="Y66" s="57">
        <f t="shared" si="32"/>
        <v>1.819370420240138</v>
      </c>
      <c r="Z66" s="8">
        <f t="shared" si="33"/>
        <v>1.8377478992324625</v>
      </c>
      <c r="AA66" s="8">
        <f t="shared" si="22"/>
        <v>2.0095260840431628</v>
      </c>
      <c r="AB66" s="50">
        <f t="shared" si="23"/>
        <v>1.9894308232027311</v>
      </c>
      <c r="AC66" s="49">
        <f t="shared" si="34"/>
        <v>1.8993715428797746</v>
      </c>
      <c r="AD66" s="8">
        <f t="shared" si="35"/>
        <v>1.9185571140199744</v>
      </c>
      <c r="AE66" s="8">
        <f t="shared" si="24"/>
        <v>2.1025354527057023</v>
      </c>
      <c r="AF66" s="50">
        <f t="shared" si="25"/>
        <v>2.0815100981786454</v>
      </c>
    </row>
    <row r="67" spans="1:32">
      <c r="A67" s="1">
        <v>1996</v>
      </c>
      <c r="B67" s="7">
        <v>1</v>
      </c>
      <c r="C67" s="8">
        <v>1.89</v>
      </c>
      <c r="D67" s="9">
        <v>2.06</v>
      </c>
      <c r="I67">
        <v>1</v>
      </c>
      <c r="J67">
        <v>0.68249151372334571</v>
      </c>
      <c r="K67">
        <v>94.110664239656217</v>
      </c>
      <c r="L67">
        <v>98.592738960179318</v>
      </c>
      <c r="M67">
        <v>93.064174158673936</v>
      </c>
      <c r="N67">
        <v>1.0859999999999999</v>
      </c>
      <c r="O67">
        <v>93.284375069085243</v>
      </c>
      <c r="Q67" s="49">
        <f t="shared" si="29"/>
        <v>1.5395411725834494</v>
      </c>
      <c r="R67" s="8">
        <f t="shared" si="28"/>
        <v>1.5395411725834494</v>
      </c>
      <c r="S67" s="8">
        <f t="shared" si="18"/>
        <v>1.6834453436496626</v>
      </c>
      <c r="T67" s="50">
        <f t="shared" si="19"/>
        <v>1.6834453436496626</v>
      </c>
      <c r="U67" s="57">
        <f t="shared" si="30"/>
        <v>1.7254585026557645</v>
      </c>
      <c r="V67" s="8">
        <f t="shared" si="31"/>
        <v>1.7254585026557645</v>
      </c>
      <c r="W67" s="8">
        <f t="shared" si="20"/>
        <v>1.8867407599643902</v>
      </c>
      <c r="X67" s="50">
        <f t="shared" si="21"/>
        <v>1.8867407599643902</v>
      </c>
      <c r="Y67" s="57">
        <f t="shared" si="32"/>
        <v>1.7277652653598492</v>
      </c>
      <c r="Z67" s="8">
        <f t="shared" si="33"/>
        <v>1.7277652653598492</v>
      </c>
      <c r="AA67" s="8">
        <f t="shared" si="22"/>
        <v>1.889263140659529</v>
      </c>
      <c r="AB67" s="50">
        <f t="shared" si="23"/>
        <v>1.889263140659529</v>
      </c>
      <c r="AC67" s="49">
        <f t="shared" si="34"/>
        <v>1.8480262499347575</v>
      </c>
      <c r="AD67" s="8">
        <f t="shared" si="35"/>
        <v>1.8480262499347575</v>
      </c>
      <c r="AE67" s="8">
        <f t="shared" si="24"/>
        <v>2.0252410937494476</v>
      </c>
      <c r="AF67" s="50">
        <f t="shared" si="25"/>
        <v>2.0252410937494476</v>
      </c>
    </row>
    <row r="68" spans="1:32">
      <c r="A68" s="1">
        <v>1997</v>
      </c>
      <c r="B68" s="7">
        <v>1</v>
      </c>
      <c r="C68" s="8">
        <v>1.79</v>
      </c>
      <c r="D68" s="9">
        <v>2.02</v>
      </c>
      <c r="I68">
        <v>1</v>
      </c>
      <c r="J68">
        <v>0.68609908018984989</v>
      </c>
      <c r="K68">
        <v>100</v>
      </c>
      <c r="L68">
        <v>100</v>
      </c>
      <c r="M68">
        <v>100</v>
      </c>
      <c r="N68">
        <v>1.111</v>
      </c>
      <c r="O68">
        <v>100</v>
      </c>
      <c r="Q68" s="49">
        <f t="shared" si="29"/>
        <v>1.5262532015696353</v>
      </c>
      <c r="R68" s="8">
        <f t="shared" si="28"/>
        <v>1.5262532015696353</v>
      </c>
      <c r="S68" s="8">
        <f t="shared" si="18"/>
        <v>1.6689153178678777</v>
      </c>
      <c r="T68" s="50">
        <f t="shared" si="19"/>
        <v>1.6689153178678777</v>
      </c>
      <c r="U68" s="57">
        <f t="shared" si="30"/>
        <v>1.7920325425971952</v>
      </c>
      <c r="V68" s="8">
        <f t="shared" si="31"/>
        <v>1.7920325425971952</v>
      </c>
      <c r="W68" s="8">
        <f t="shared" si="20"/>
        <v>1.9595376162896299</v>
      </c>
      <c r="X68" s="50">
        <f t="shared" si="21"/>
        <v>1.9595376162896299</v>
      </c>
      <c r="Y68" s="57">
        <f t="shared" si="32"/>
        <v>1.6938061599147283</v>
      </c>
      <c r="Z68" s="8">
        <f t="shared" si="33"/>
        <v>1.6938061599147283</v>
      </c>
      <c r="AA68" s="8">
        <f t="shared" si="22"/>
        <v>1.85212980577108</v>
      </c>
      <c r="AB68" s="50">
        <f t="shared" si="23"/>
        <v>1.85212980577108</v>
      </c>
      <c r="AC68" s="49">
        <f t="shared" si="34"/>
        <v>1.8159901291358316</v>
      </c>
      <c r="AD68" s="8">
        <f t="shared" si="35"/>
        <v>1.8159901291358316</v>
      </c>
      <c r="AE68" s="8">
        <f t="shared" si="24"/>
        <v>1.9901328974624108</v>
      </c>
      <c r="AF68" s="50">
        <f t="shared" si="25"/>
        <v>1.9901328974624108</v>
      </c>
    </row>
    <row r="69" spans="1:32">
      <c r="A69" s="1">
        <v>1998</v>
      </c>
      <c r="B69" s="7">
        <v>1</v>
      </c>
      <c r="C69" s="8">
        <v>1.8</v>
      </c>
      <c r="D69" s="9">
        <v>2.0099999999999998</v>
      </c>
      <c r="I69">
        <v>1</v>
      </c>
      <c r="J69">
        <v>0.69244320061850628</v>
      </c>
      <c r="K69">
        <v>97.080398470140864</v>
      </c>
      <c r="L69">
        <v>105.40486125989436</v>
      </c>
      <c r="M69">
        <v>104.37148026715033</v>
      </c>
      <c r="N69">
        <v>1.1279999999999999</v>
      </c>
      <c r="O69">
        <v>106.27677064028653</v>
      </c>
      <c r="Q69" s="49">
        <f t="shared" si="29"/>
        <v>1.6608700909000078</v>
      </c>
      <c r="R69" s="8">
        <f t="shared" si="28"/>
        <v>1.6608700909000078</v>
      </c>
      <c r="S69" s="8">
        <f t="shared" si="18"/>
        <v>1.8161151326929235</v>
      </c>
      <c r="T69" s="50">
        <f t="shared" si="19"/>
        <v>1.8161151326929235</v>
      </c>
      <c r="U69" s="57">
        <f t="shared" si="30"/>
        <v>1.7960808305695828</v>
      </c>
      <c r="V69" s="8">
        <f t="shared" si="31"/>
        <v>1.7960808305695828</v>
      </c>
      <c r="W69" s="8">
        <f t="shared" si="20"/>
        <v>1.9639643063049625</v>
      </c>
      <c r="X69" s="50">
        <f t="shared" si="21"/>
        <v>1.9639643063049625</v>
      </c>
      <c r="Y69" s="57">
        <f t="shared" si="32"/>
        <v>1.7144407928164189</v>
      </c>
      <c r="Z69" s="8">
        <f t="shared" si="33"/>
        <v>1.7144407928164189</v>
      </c>
      <c r="AA69" s="8">
        <f t="shared" si="22"/>
        <v>1.8746932014729174</v>
      </c>
      <c r="AB69" s="50">
        <f t="shared" si="23"/>
        <v>1.8746932014729174</v>
      </c>
      <c r="AC69" s="49">
        <f t="shared" si="34"/>
        <v>1.8051602465890684</v>
      </c>
      <c r="AD69" s="8">
        <f t="shared" si="35"/>
        <v>1.8051602465890684</v>
      </c>
      <c r="AE69" s="8">
        <f t="shared" si="24"/>
        <v>1.97826449290108</v>
      </c>
      <c r="AF69" s="50">
        <f t="shared" si="25"/>
        <v>1.97826449290108</v>
      </c>
    </row>
    <row r="70" spans="1:32">
      <c r="A70" s="1">
        <v>1999</v>
      </c>
      <c r="B70" s="7">
        <v>1</v>
      </c>
      <c r="C70" s="8">
        <v>1.85</v>
      </c>
      <c r="D70" s="9">
        <v>1.94</v>
      </c>
      <c r="I70">
        <v>1</v>
      </c>
      <c r="J70">
        <v>0.68436462539129039</v>
      </c>
      <c r="K70">
        <v>94.596913687041834</v>
      </c>
      <c r="L70">
        <v>96.727278669051628</v>
      </c>
      <c r="M70">
        <v>100.86458114899635</v>
      </c>
      <c r="N70">
        <v>1.153</v>
      </c>
      <c r="O70">
        <v>113.60722741545027</v>
      </c>
      <c r="Q70" s="49">
        <f t="shared" si="29"/>
        <v>1.7617368927450756</v>
      </c>
      <c r="R70" s="8">
        <f t="shared" si="28"/>
        <v>1.7617368927450756</v>
      </c>
      <c r="S70" s="8">
        <f t="shared" si="18"/>
        <v>1.9264101679403218</v>
      </c>
      <c r="T70" s="50">
        <f t="shared" si="19"/>
        <v>1.9264101679403218</v>
      </c>
      <c r="U70" s="57">
        <f t="shared" si="30"/>
        <v>2.0229649162955687</v>
      </c>
      <c r="V70" s="8">
        <f t="shared" si="31"/>
        <v>2.0229649162955687</v>
      </c>
      <c r="W70" s="8">
        <f t="shared" si="20"/>
        <v>2.2120557276098505</v>
      </c>
      <c r="X70" s="50">
        <f t="shared" si="21"/>
        <v>2.2120557276098505</v>
      </c>
      <c r="Y70" s="57">
        <f t="shared" si="32"/>
        <v>1.8336500177117576</v>
      </c>
      <c r="Z70" s="8">
        <f t="shared" si="33"/>
        <v>1.8336500177117576</v>
      </c>
      <c r="AA70" s="8">
        <f t="shared" si="22"/>
        <v>2.0050451648656118</v>
      </c>
      <c r="AB70" s="50">
        <f t="shared" si="23"/>
        <v>2.0050451648656118</v>
      </c>
      <c r="AC70" s="49">
        <f t="shared" si="34"/>
        <v>1.7454159929536279</v>
      </c>
      <c r="AD70" s="8">
        <f t="shared" si="35"/>
        <v>1.7454159929536279</v>
      </c>
      <c r="AE70" s="8">
        <f t="shared" si="24"/>
        <v>1.9127911168696758</v>
      </c>
      <c r="AF70" s="50">
        <f t="shared" si="25"/>
        <v>1.9127911168696758</v>
      </c>
    </row>
    <row r="71" spans="1:32">
      <c r="A71" s="1">
        <v>2000</v>
      </c>
      <c r="B71" s="7">
        <v>1</v>
      </c>
      <c r="C71" s="8">
        <v>1.74</v>
      </c>
      <c r="D71" s="9">
        <v>1.86</v>
      </c>
      <c r="I71">
        <v>1</v>
      </c>
      <c r="J71">
        <v>0.6779377065296085</v>
      </c>
      <c r="K71">
        <v>94.144539820968248</v>
      </c>
      <c r="L71">
        <v>105.26128319993266</v>
      </c>
      <c r="M71">
        <v>109.7636094724962</v>
      </c>
      <c r="N71">
        <v>1.1919999999999999</v>
      </c>
      <c r="O71">
        <v>119.46064002969261</v>
      </c>
      <c r="Q71" s="49">
        <f t="shared" si="29"/>
        <v>1.7835982784055384</v>
      </c>
      <c r="R71" s="8">
        <f t="shared" si="28"/>
        <v>1.7835982784055384</v>
      </c>
      <c r="S71" s="8">
        <f t="shared" si="18"/>
        <v>1.9503149835770992</v>
      </c>
      <c r="T71" s="50">
        <f t="shared" si="19"/>
        <v>1.9503149835770992</v>
      </c>
      <c r="U71" s="57">
        <f t="shared" si="30"/>
        <v>1.8730217711661208</v>
      </c>
      <c r="V71" s="8">
        <f t="shared" si="31"/>
        <v>1.8730217711661208</v>
      </c>
      <c r="W71" s="8">
        <f t="shared" si="20"/>
        <v>2.048097079425875</v>
      </c>
      <c r="X71" s="50">
        <f t="shared" si="21"/>
        <v>2.048097079425875</v>
      </c>
      <c r="Y71" s="57">
        <f t="shared" si="32"/>
        <v>1.6977389850944238</v>
      </c>
      <c r="Z71" s="8">
        <f t="shared" si="33"/>
        <v>1.6977389850944238</v>
      </c>
      <c r="AA71" s="8">
        <f t="shared" si="22"/>
        <v>1.8564302404421689</v>
      </c>
      <c r="AB71" s="50">
        <f t="shared" si="23"/>
        <v>1.8564302404421689</v>
      </c>
      <c r="AC71" s="49">
        <f t="shared" si="34"/>
        <v>1.6724542243761862</v>
      </c>
      <c r="AD71" s="8">
        <f t="shared" si="35"/>
        <v>1.6724542243761862</v>
      </c>
      <c r="AE71" s="8">
        <f t="shared" si="24"/>
        <v>1.8328327439835284</v>
      </c>
      <c r="AF71" s="50">
        <f t="shared" si="25"/>
        <v>1.8328327439835284</v>
      </c>
    </row>
    <row r="72" spans="1:32">
      <c r="A72" s="1">
        <v>2001</v>
      </c>
      <c r="B72" s="7">
        <v>1</v>
      </c>
      <c r="C72" s="8">
        <v>1.79</v>
      </c>
      <c r="D72" s="9">
        <v>1.79</v>
      </c>
      <c r="I72">
        <v>1</v>
      </c>
      <c r="J72">
        <v>0.67071425702770793</v>
      </c>
      <c r="K72">
        <v>88.34900237623043</v>
      </c>
      <c r="L72">
        <v>105.2428651996514</v>
      </c>
      <c r="M72">
        <v>108.94100394751618</v>
      </c>
      <c r="N72">
        <v>1.226</v>
      </c>
      <c r="O72">
        <v>122.78975690663896</v>
      </c>
      <c r="Q72" s="49">
        <f t="shared" si="29"/>
        <v>1.8791496495621725</v>
      </c>
      <c r="R72" s="8">
        <f t="shared" si="28"/>
        <v>1.8791496495621725</v>
      </c>
      <c r="S72" s="8">
        <f t="shared" ref="S72:S101" si="36">R72/R$5</f>
        <v>2.0547977435821796</v>
      </c>
      <c r="T72" s="50">
        <f t="shared" ref="T72:T101" si="37">S72*I72</f>
        <v>2.0547977435821796</v>
      </c>
      <c r="U72" s="57">
        <f t="shared" si="30"/>
        <v>1.8522075842174242</v>
      </c>
      <c r="V72" s="8">
        <f t="shared" si="31"/>
        <v>1.8522075842174242</v>
      </c>
      <c r="W72" s="8">
        <f t="shared" ref="W72:W101" si="38">V72/V$5</f>
        <v>2.0253373463803221</v>
      </c>
      <c r="X72" s="50">
        <f t="shared" ref="X72:X101" si="39">W72*I72</f>
        <v>2.0253373463803221</v>
      </c>
      <c r="Y72" s="57">
        <f t="shared" si="32"/>
        <v>1.6912537166049468</v>
      </c>
      <c r="Z72" s="8">
        <f t="shared" si="33"/>
        <v>1.6912537166049468</v>
      </c>
      <c r="AA72" s="8">
        <f t="shared" ref="AA72:AA101" si="40">Z72/Z$5</f>
        <v>1.8493387801841703</v>
      </c>
      <c r="AB72" s="50">
        <f t="shared" ref="AB72:AB101" si="41">AA72*I72</f>
        <v>1.8493387801841703</v>
      </c>
      <c r="AC72" s="49">
        <f t="shared" si="34"/>
        <v>1.6087470859745361</v>
      </c>
      <c r="AD72" s="8">
        <f t="shared" si="35"/>
        <v>1.6087470859745361</v>
      </c>
      <c r="AE72" s="8">
        <f t="shared" ref="AE72:AE101" si="42">AD72/AD$5</f>
        <v>1.7630164658539509</v>
      </c>
      <c r="AF72" s="50">
        <f t="shared" ref="AF72:AF101" si="43">AE72*I72</f>
        <v>1.7630164658539509</v>
      </c>
    </row>
    <row r="73" spans="1:32">
      <c r="A73" s="1">
        <v>2002</v>
      </c>
      <c r="B73" s="7">
        <v>3.14</v>
      </c>
      <c r="C73" s="8">
        <v>2.4</v>
      </c>
      <c r="D73" s="9">
        <v>2.2200000000000002</v>
      </c>
      <c r="I73">
        <v>3.14</v>
      </c>
      <c r="J73">
        <v>0.84421828458090353</v>
      </c>
      <c r="K73">
        <v>79.988316920617635</v>
      </c>
      <c r="L73">
        <v>131.53270412942186</v>
      </c>
      <c r="M73">
        <v>133.80528813706582</v>
      </c>
      <c r="N73">
        <v>1.2450000000000001</v>
      </c>
      <c r="O73">
        <v>134.07298924281122</v>
      </c>
      <c r="Q73" s="49">
        <f t="shared" si="29"/>
        <v>2.8090142748945564</v>
      </c>
      <c r="R73" s="8">
        <f t="shared" si="28"/>
        <v>0.89459053340590966</v>
      </c>
      <c r="S73" s="8">
        <f t="shared" si="36"/>
        <v>0.97820980351443998</v>
      </c>
      <c r="T73" s="50">
        <f t="shared" si="37"/>
        <v>3.0715787830353416</v>
      </c>
      <c r="U73" s="57">
        <f t="shared" si="30"/>
        <v>2.0057003958564406</v>
      </c>
      <c r="V73" s="8">
        <f t="shared" si="31"/>
        <v>0.63875808785236954</v>
      </c>
      <c r="W73" s="8">
        <f t="shared" si="38"/>
        <v>0.69846415793426742</v>
      </c>
      <c r="X73" s="50">
        <f t="shared" si="39"/>
        <v>2.1931774559135997</v>
      </c>
      <c r="Y73" s="57">
        <f t="shared" si="32"/>
        <v>1.8635641503208324</v>
      </c>
      <c r="Z73" s="8">
        <f t="shared" si="33"/>
        <v>0.59349176761809952</v>
      </c>
      <c r="AA73" s="8">
        <f t="shared" si="40"/>
        <v>0.64896669896429238</v>
      </c>
      <c r="AB73" s="50">
        <f t="shared" si="41"/>
        <v>2.0377554347478783</v>
      </c>
      <c r="AC73" s="49">
        <f t="shared" si="34"/>
        <v>1.9940043807911296</v>
      </c>
      <c r="AD73" s="8">
        <f t="shared" si="35"/>
        <v>0.63503324229016866</v>
      </c>
      <c r="AE73" s="8">
        <f t="shared" si="42"/>
        <v>0.6959291937700578</v>
      </c>
      <c r="AF73" s="50">
        <f t="shared" si="43"/>
        <v>2.1852176684379816</v>
      </c>
    </row>
    <row r="74" spans="1:32">
      <c r="A74" s="1">
        <v>2003</v>
      </c>
      <c r="B74" s="7">
        <v>2.93</v>
      </c>
      <c r="C74" s="8">
        <v>2.5299999999999998</v>
      </c>
      <c r="D74" s="9">
        <v>2.46</v>
      </c>
      <c r="I74">
        <v>2.93</v>
      </c>
      <c r="J74">
        <v>0.95770775932323515</v>
      </c>
      <c r="K74">
        <v>82.662494219230865</v>
      </c>
      <c r="L74">
        <v>128.76090466741559</v>
      </c>
      <c r="M74">
        <v>140.48616211457448</v>
      </c>
      <c r="N74">
        <v>1.2729999999999999</v>
      </c>
      <c r="O74">
        <v>143.95953042499033</v>
      </c>
      <c r="Q74" s="49">
        <f t="shared" si="29"/>
        <v>3.2381005340300009</v>
      </c>
      <c r="R74" s="8">
        <f t="shared" si="28"/>
        <v>1.1051537658805464</v>
      </c>
      <c r="S74" s="8">
        <f t="shared" si="36"/>
        <v>1.2084548268796951</v>
      </c>
      <c r="T74" s="50">
        <f t="shared" si="37"/>
        <v>3.5407726427575068</v>
      </c>
      <c r="U74" s="57">
        <f t="shared" si="30"/>
        <v>2.4408108113372751</v>
      </c>
      <c r="V74" s="8">
        <f t="shared" si="31"/>
        <v>0.83304123253831908</v>
      </c>
      <c r="W74" s="8">
        <f t="shared" si="38"/>
        <v>0.91090735925660637</v>
      </c>
      <c r="X74" s="50">
        <f t="shared" si="39"/>
        <v>2.668958562621857</v>
      </c>
      <c r="Y74" s="57">
        <f t="shared" si="32"/>
        <v>2.1144742721755336</v>
      </c>
      <c r="Z74" s="8">
        <f t="shared" si="33"/>
        <v>0.72166357412134252</v>
      </c>
      <c r="AA74" s="8">
        <f t="shared" si="40"/>
        <v>0.78911899543257946</v>
      </c>
      <c r="AB74" s="50">
        <f t="shared" si="41"/>
        <v>2.3121186566174581</v>
      </c>
      <c r="AC74" s="49">
        <f t="shared" si="34"/>
        <v>2.2123065636579744</v>
      </c>
      <c r="AD74" s="8">
        <f t="shared" si="35"/>
        <v>0.75505343469555442</v>
      </c>
      <c r="AE74" s="8">
        <f t="shared" si="42"/>
        <v>0.82745861644340124</v>
      </c>
      <c r="AF74" s="50">
        <f t="shared" si="43"/>
        <v>2.4244537461791658</v>
      </c>
    </row>
    <row r="75" spans="1:32">
      <c r="A75" s="1">
        <v>2004</v>
      </c>
      <c r="B75" s="10">
        <v>2.93</v>
      </c>
      <c r="C75" s="11">
        <v>2.64</v>
      </c>
      <c r="D75" s="12">
        <v>2.5</v>
      </c>
      <c r="I75">
        <v>2.93</v>
      </c>
      <c r="J75">
        <v>1</v>
      </c>
      <c r="K75">
        <v>90.338933788633767</v>
      </c>
      <c r="L75">
        <v>146.52488340131313</v>
      </c>
      <c r="M75">
        <v>153.99498299123488</v>
      </c>
      <c r="N75">
        <v>1.3069999999999999</v>
      </c>
      <c r="O75">
        <v>150.40393517311642</v>
      </c>
      <c r="Q75" s="49">
        <f t="shared" si="29"/>
        <v>3.1482010610951967</v>
      </c>
      <c r="R75" s="8">
        <f t="shared" si="28"/>
        <v>1.0744713519096234</v>
      </c>
      <c r="S75" s="8">
        <f t="shared" si="36"/>
        <v>1.1749044627510075</v>
      </c>
      <c r="T75" s="50">
        <f t="shared" si="37"/>
        <v>3.4424700758604518</v>
      </c>
      <c r="U75" s="57">
        <f t="shared" si="30"/>
        <v>2.2790053312228191</v>
      </c>
      <c r="V75" s="8">
        <f t="shared" si="31"/>
        <v>0.77781751918867548</v>
      </c>
      <c r="W75" s="8">
        <f t="shared" si="38"/>
        <v>0.85052176856694772</v>
      </c>
      <c r="X75" s="50">
        <f t="shared" si="39"/>
        <v>2.4920287819011571</v>
      </c>
      <c r="Y75" s="57">
        <f t="shared" si="32"/>
        <v>2.0495946054655021</v>
      </c>
      <c r="Z75" s="8">
        <f t="shared" si="33"/>
        <v>0.69952034316228739</v>
      </c>
      <c r="AA75" s="8">
        <f t="shared" si="40"/>
        <v>0.76490598982076641</v>
      </c>
      <c r="AB75" s="50">
        <f t="shared" si="41"/>
        <v>2.2411745501748457</v>
      </c>
      <c r="AC75" s="49">
        <f t="shared" si="34"/>
        <v>2.249909854177544</v>
      </c>
      <c r="AD75" s="8">
        <f t="shared" si="35"/>
        <v>0.76788732224489553</v>
      </c>
      <c r="AE75" s="8">
        <f t="shared" si="42"/>
        <v>0.84152319829574385</v>
      </c>
      <c r="AF75" s="50">
        <f t="shared" si="43"/>
        <v>2.4656629710065294</v>
      </c>
    </row>
    <row r="76" spans="1:32">
      <c r="A76">
        <f>A75+1</f>
        <v>2005</v>
      </c>
      <c r="I76">
        <v>2.9284166666666671</v>
      </c>
      <c r="J76">
        <v>1.0964239819992485</v>
      </c>
      <c r="K76">
        <v>88.878478404032762</v>
      </c>
      <c r="L76">
        <v>142.1876125219637</v>
      </c>
      <c r="M76">
        <v>154.65523378588117</v>
      </c>
      <c r="N76">
        <v>1.3518098637415767</v>
      </c>
      <c r="O76">
        <v>157.15477275693544</v>
      </c>
      <c r="Q76" s="49">
        <f t="shared" si="29"/>
        <v>3.5444404903207043</v>
      </c>
      <c r="R76" s="8">
        <f t="shared" si="28"/>
        <v>1.2103607149440381</v>
      </c>
      <c r="S76" s="8">
        <f t="shared" si="36"/>
        <v>1.3234956920897629</v>
      </c>
      <c r="T76" s="50">
        <f t="shared" si="37"/>
        <v>3.8757468429771973</v>
      </c>
      <c r="U76" s="57">
        <f t="shared" si="30"/>
        <v>2.6013682902749728</v>
      </c>
      <c r="V76" s="8">
        <f t="shared" si="31"/>
        <v>0.88831904280753737</v>
      </c>
      <c r="W76" s="8">
        <f t="shared" si="38"/>
        <v>0.97135210341938116</v>
      </c>
      <c r="X76" s="50">
        <f t="shared" si="39"/>
        <v>2.8445236888550398</v>
      </c>
      <c r="Y76" s="57">
        <f t="shared" si="32"/>
        <v>2.2605639536784601</v>
      </c>
      <c r="Z76" s="8">
        <f t="shared" si="33"/>
        <v>0.77194068023509621</v>
      </c>
      <c r="AA76" s="8">
        <f t="shared" si="40"/>
        <v>0.84409560904100245</v>
      </c>
      <c r="AB76" s="50">
        <f t="shared" si="41"/>
        <v>2.4718636497758228</v>
      </c>
      <c r="AC76" s="49">
        <f t="shared" si="34"/>
        <v>2.3850836794606027</v>
      </c>
      <c r="AD76" s="8">
        <f t="shared" si="35"/>
        <v>0.81446185804408611</v>
      </c>
      <c r="AE76" s="8">
        <f t="shared" si="42"/>
        <v>0.89256395803936517</v>
      </c>
      <c r="AF76" s="50">
        <f t="shared" si="43"/>
        <v>2.6137991707884445</v>
      </c>
    </row>
    <row r="77" spans="1:32">
      <c r="A77">
        <f t="shared" ref="A77:A95" si="44">A76+1</f>
        <v>2006</v>
      </c>
      <c r="I77">
        <v>3.0777499999999995</v>
      </c>
      <c r="J77">
        <v>1.2089395898827904</v>
      </c>
      <c r="K77">
        <v>91.964433250352712</v>
      </c>
      <c r="L77">
        <v>144.27252737188527</v>
      </c>
      <c r="M77">
        <v>156.92361910589923</v>
      </c>
      <c r="N77">
        <v>1.3954825547957348</v>
      </c>
      <c r="O77">
        <v>160.29437528727601</v>
      </c>
      <c r="Q77" s="49">
        <f t="shared" si="29"/>
        <v>3.7319204918688125</v>
      </c>
      <c r="R77" s="8">
        <f t="shared" si="28"/>
        <v>1.2125482875050972</v>
      </c>
      <c r="S77" s="8">
        <f t="shared" si="36"/>
        <v>1.3258877416870019</v>
      </c>
      <c r="T77" s="50">
        <f t="shared" si="37"/>
        <v>4.0807509969771694</v>
      </c>
      <c r="U77" s="57">
        <f t="shared" si="30"/>
        <v>2.7931093945113878</v>
      </c>
      <c r="V77" s="8">
        <f t="shared" si="31"/>
        <v>0.90751665811433291</v>
      </c>
      <c r="W77" s="8">
        <f t="shared" si="38"/>
        <v>0.99234416045100349</v>
      </c>
      <c r="X77" s="50">
        <f t="shared" si="39"/>
        <v>3.0541872398280754</v>
      </c>
      <c r="Y77" s="57">
        <f t="shared" si="32"/>
        <v>2.4271749746931617</v>
      </c>
      <c r="Z77" s="8">
        <f t="shared" si="33"/>
        <v>0.78861992517038815</v>
      </c>
      <c r="AA77" s="8">
        <f t="shared" si="40"/>
        <v>0.86233389829363194</v>
      </c>
      <c r="AB77" s="50">
        <f t="shared" si="41"/>
        <v>2.6540481554732254</v>
      </c>
      <c r="AC77" s="49">
        <f t="shared" si="34"/>
        <v>2.5475393072846373</v>
      </c>
      <c r="AD77" s="8">
        <f t="shared" si="35"/>
        <v>0.82772782301507197</v>
      </c>
      <c r="AE77" s="8">
        <f t="shared" si="42"/>
        <v>0.90710205099579899</v>
      </c>
      <c r="AF77" s="50">
        <f t="shared" si="43"/>
        <v>2.7918333374523199</v>
      </c>
    </row>
    <row r="78" spans="1:32">
      <c r="A78">
        <f t="shared" si="44"/>
        <v>2007</v>
      </c>
      <c r="I78">
        <v>3.1191666666666666</v>
      </c>
      <c r="J78">
        <v>1.4301885530069212</v>
      </c>
      <c r="K78">
        <v>100.03274567024935</v>
      </c>
      <c r="L78">
        <v>154.8734635250496</v>
      </c>
      <c r="M78">
        <v>168.454380012596</v>
      </c>
      <c r="N78">
        <v>1.4352525517834864</v>
      </c>
      <c r="O78">
        <v>168.20073170950346</v>
      </c>
      <c r="Q78" s="49">
        <f t="shared" si="29"/>
        <v>4.1409927600128231</v>
      </c>
      <c r="R78" s="8">
        <f t="shared" si="28"/>
        <v>1.3275958621467774</v>
      </c>
      <c r="S78" s="8">
        <f t="shared" si="36"/>
        <v>1.4516890565707876</v>
      </c>
      <c r="T78" s="50">
        <f t="shared" si="37"/>
        <v>4.5280601156203817</v>
      </c>
      <c r="U78" s="57">
        <f t="shared" si="30"/>
        <v>3.1404288164167156</v>
      </c>
      <c r="V78" s="8">
        <f t="shared" si="31"/>
        <v>1.0068166122629063</v>
      </c>
      <c r="W78" s="8">
        <f t="shared" si="38"/>
        <v>1.1009258914322708</v>
      </c>
      <c r="X78" s="50">
        <f t="shared" si="39"/>
        <v>3.4339713430258247</v>
      </c>
      <c r="Y78" s="57">
        <f t="shared" si="32"/>
        <v>2.7289870381465686</v>
      </c>
      <c r="Z78" s="8">
        <f t="shared" si="33"/>
        <v>0.87490901570288071</v>
      </c>
      <c r="AA78" s="8">
        <f t="shared" si="40"/>
        <v>0.95668861270567207</v>
      </c>
      <c r="AB78" s="50">
        <f t="shared" si="41"/>
        <v>2.9840712311311086</v>
      </c>
      <c r="AC78" s="49">
        <f t="shared" si="34"/>
        <v>2.9302567526321242</v>
      </c>
      <c r="AD78" s="8">
        <f t="shared" si="35"/>
        <v>0.9394357742876166</v>
      </c>
      <c r="AE78" s="8">
        <f t="shared" si="42"/>
        <v>1.0295221375198433</v>
      </c>
      <c r="AF78" s="50">
        <f t="shared" si="43"/>
        <v>3.2112511339473113</v>
      </c>
    </row>
    <row r="79" spans="1:32">
      <c r="A79">
        <f t="shared" si="44"/>
        <v>2008</v>
      </c>
      <c r="I79">
        <v>3.1831666666666667</v>
      </c>
      <c r="J79">
        <v>1.8171998268522611</v>
      </c>
      <c r="K79">
        <v>98.958018813870879</v>
      </c>
      <c r="L79">
        <v>155.51685957128788</v>
      </c>
      <c r="M79">
        <v>169.15405140504745</v>
      </c>
      <c r="N79">
        <v>1.4902709664236544</v>
      </c>
      <c r="O79">
        <v>166.28774442109076</v>
      </c>
      <c r="Q79" s="49">
        <f t="shared" si="29"/>
        <v>5.0640794013624246</v>
      </c>
      <c r="R79" s="8">
        <f t="shared" si="28"/>
        <v>1.5908935760078824</v>
      </c>
      <c r="S79" s="8">
        <f t="shared" si="36"/>
        <v>1.7395977648837202</v>
      </c>
      <c r="T79" s="50">
        <f t="shared" si="37"/>
        <v>5.537429618585695</v>
      </c>
      <c r="U79" s="57">
        <f t="shared" si="30"/>
        <v>3.7834963971263402</v>
      </c>
      <c r="V79" s="8">
        <f t="shared" si="31"/>
        <v>1.1885951297323443</v>
      </c>
      <c r="W79" s="8">
        <f t="shared" si="38"/>
        <v>1.2996956315724144</v>
      </c>
      <c r="X79" s="50">
        <f t="shared" si="39"/>
        <v>4.1371478112335902</v>
      </c>
      <c r="Y79" s="57">
        <f t="shared" si="32"/>
        <v>3.2878062325295665</v>
      </c>
      <c r="Z79" s="8">
        <f t="shared" si="33"/>
        <v>1.032872788898759</v>
      </c>
      <c r="AA79" s="8">
        <f t="shared" si="40"/>
        <v>1.1294175940330737</v>
      </c>
      <c r="AB79" s="50">
        <f t="shared" si="41"/>
        <v>3.5951244380729461</v>
      </c>
      <c r="AC79" s="49">
        <f t="shared" si="34"/>
        <v>3.5857346802400349</v>
      </c>
      <c r="AD79" s="8">
        <f t="shared" si="35"/>
        <v>1.1264677774459506</v>
      </c>
      <c r="AE79" s="8">
        <f t="shared" si="42"/>
        <v>1.2344894093082754</v>
      </c>
      <c r="AF79" s="50">
        <f t="shared" si="43"/>
        <v>3.9295855380631255</v>
      </c>
    </row>
    <row r="80" spans="1:32">
      <c r="A80">
        <f t="shared" si="44"/>
        <v>2009</v>
      </c>
      <c r="I80">
        <v>3.75</v>
      </c>
      <c r="J80">
        <v>2.0822573595387337</v>
      </c>
      <c r="K80">
        <v>91.364301044930812</v>
      </c>
      <c r="L80">
        <v>136.68538635328446</v>
      </c>
      <c r="M80">
        <v>154.23329234769434</v>
      </c>
      <c r="N80">
        <v>1.4851001953895027</v>
      </c>
      <c r="O80">
        <v>166.18723689476133</v>
      </c>
      <c r="Q80" s="49">
        <f t="shared" si="29"/>
        <v>6.3030912038953373</v>
      </c>
      <c r="R80" s="8">
        <f t="shared" si="28"/>
        <v>1.6808243210387566</v>
      </c>
      <c r="S80" s="8">
        <f t="shared" si="36"/>
        <v>1.8379345269458365</v>
      </c>
      <c r="T80" s="50">
        <f t="shared" si="37"/>
        <v>6.8922544760468867</v>
      </c>
      <c r="U80" s="57">
        <f t="shared" si="30"/>
        <v>4.9468341107132048</v>
      </c>
      <c r="V80" s="8">
        <f t="shared" si="31"/>
        <v>1.3191557628568547</v>
      </c>
      <c r="W80" s="8">
        <f t="shared" si="38"/>
        <v>1.4424600433410093</v>
      </c>
      <c r="X80" s="50">
        <f t="shared" si="39"/>
        <v>5.4092251625287853</v>
      </c>
      <c r="Y80" s="57">
        <f t="shared" si="32"/>
        <v>4.1437077538676581</v>
      </c>
      <c r="Z80" s="8">
        <f t="shared" si="33"/>
        <v>1.1049887343647089</v>
      </c>
      <c r="AA80" s="8">
        <f t="shared" si="40"/>
        <v>1.208274369518866</v>
      </c>
      <c r="AB80" s="50">
        <f t="shared" si="41"/>
        <v>4.5310288856957479</v>
      </c>
      <c r="AC80" s="49">
        <f t="shared" si="34"/>
        <v>4.1230571622590499</v>
      </c>
      <c r="AD80" s="8">
        <f t="shared" si="35"/>
        <v>1.0994819099357467</v>
      </c>
      <c r="AE80" s="8">
        <f t="shared" si="42"/>
        <v>1.2049157558852939</v>
      </c>
      <c r="AF80" s="50">
        <f t="shared" si="43"/>
        <v>4.5184340845698516</v>
      </c>
    </row>
    <row r="81" spans="1:32">
      <c r="A81">
        <f t="shared" si="44"/>
        <v>2010</v>
      </c>
      <c r="I81">
        <v>3.89</v>
      </c>
      <c r="J81">
        <v>2.5630419478498032</v>
      </c>
      <c r="K81">
        <v>110.38261029662218</v>
      </c>
      <c r="L81">
        <v>145.83816940799227</v>
      </c>
      <c r="M81">
        <v>161.59825292150518</v>
      </c>
      <c r="N81">
        <v>1.5094977244430594</v>
      </c>
      <c r="O81">
        <v>182.56289460959212</v>
      </c>
      <c r="Q81" s="49">
        <f t="shared" si="29"/>
        <v>6.9404705277442389</v>
      </c>
      <c r="R81" s="8">
        <f t="shared" si="28"/>
        <v>1.7841826549471052</v>
      </c>
      <c r="S81" s="8">
        <f t="shared" si="36"/>
        <v>1.9509539830305453</v>
      </c>
      <c r="T81" s="50">
        <f t="shared" si="37"/>
        <v>7.5892109939888215</v>
      </c>
      <c r="U81" s="57">
        <f t="shared" si="30"/>
        <v>6.167904972372166</v>
      </c>
      <c r="V81" s="8">
        <f t="shared" si="31"/>
        <v>1.5855796844144385</v>
      </c>
      <c r="W81" s="8">
        <f t="shared" si="38"/>
        <v>1.7337871725988574</v>
      </c>
      <c r="X81" s="50">
        <f t="shared" si="39"/>
        <v>6.7444321014095552</v>
      </c>
      <c r="Y81" s="57">
        <f t="shared" si="32"/>
        <v>5.2612632570125806</v>
      </c>
      <c r="Z81" s="8">
        <f t="shared" si="33"/>
        <v>1.3525098347076041</v>
      </c>
      <c r="AA81" s="8">
        <f t="shared" si="40"/>
        <v>1.4789317908647712</v>
      </c>
      <c r="AB81" s="50">
        <f t="shared" si="41"/>
        <v>5.7530446664639605</v>
      </c>
      <c r="AC81" s="49">
        <f t="shared" si="34"/>
        <v>4.9930274865473994</v>
      </c>
      <c r="AD81" s="8">
        <f t="shared" si="35"/>
        <v>1.2835546237911053</v>
      </c>
      <c r="AE81" s="8">
        <f t="shared" si="42"/>
        <v>1.4066399599386814</v>
      </c>
      <c r="AF81" s="50">
        <f t="shared" si="43"/>
        <v>5.4718294441614708</v>
      </c>
    </row>
    <row r="82" spans="1:32">
      <c r="A82">
        <f t="shared" si="44"/>
        <v>2011</v>
      </c>
      <c r="I82">
        <v>4.1100000000000003</v>
      </c>
      <c r="J82">
        <v>3.1636716810305039</v>
      </c>
      <c r="K82">
        <v>111.8062861512628</v>
      </c>
      <c r="L82">
        <v>150.39454419822803</v>
      </c>
      <c r="M82">
        <v>164.73474532047646</v>
      </c>
      <c r="N82">
        <v>1.5570928265565678</v>
      </c>
      <c r="O82">
        <v>185.05060230373886</v>
      </c>
      <c r="Q82" s="49">
        <f t="shared" si="29"/>
        <v>8.3110327570517484</v>
      </c>
      <c r="R82" s="8">
        <f t="shared" si="28"/>
        <v>2.0221490893069944</v>
      </c>
      <c r="S82" s="8">
        <f t="shared" si="36"/>
        <v>2.2111636435463669</v>
      </c>
      <c r="T82" s="50">
        <f t="shared" si="37"/>
        <v>9.0878825749755681</v>
      </c>
      <c r="U82" s="57">
        <f t="shared" si="30"/>
        <v>7.2545159201824259</v>
      </c>
      <c r="V82" s="8">
        <f t="shared" si="31"/>
        <v>1.765089031674556</v>
      </c>
      <c r="W82" s="8">
        <f t="shared" si="38"/>
        <v>1.9300756383886573</v>
      </c>
      <c r="X82" s="50">
        <f t="shared" si="39"/>
        <v>7.9326108737773815</v>
      </c>
      <c r="Y82" s="57">
        <f t="shared" si="32"/>
        <v>6.2599826140400081</v>
      </c>
      <c r="Z82" s="8">
        <f t="shared" si="33"/>
        <v>1.5231101250705614</v>
      </c>
      <c r="AA82" s="8">
        <f t="shared" si="40"/>
        <v>1.6654784513576941</v>
      </c>
      <c r="AB82" s="50">
        <f t="shared" si="41"/>
        <v>6.845116435080123</v>
      </c>
      <c r="AC82" s="49">
        <f t="shared" si="34"/>
        <v>5.9747207049306974</v>
      </c>
      <c r="AD82" s="8">
        <f t="shared" si="35"/>
        <v>1.4537033345330164</v>
      </c>
      <c r="AE82" s="8">
        <f t="shared" si="42"/>
        <v>1.593104930907125</v>
      </c>
      <c r="AF82" s="50">
        <f t="shared" si="43"/>
        <v>6.5476612660282845</v>
      </c>
    </row>
    <row r="83" spans="1:32">
      <c r="A83">
        <f t="shared" si="44"/>
        <v>2012</v>
      </c>
      <c r="I83">
        <v>4.5525185190000004</v>
      </c>
      <c r="J83">
        <v>3.9120057032833038</v>
      </c>
      <c r="K83">
        <v>103.23639810244597</v>
      </c>
      <c r="L83">
        <v>138.07465970786836</v>
      </c>
      <c r="M83">
        <v>162.69797402243827</v>
      </c>
      <c r="N83">
        <v>1.5893562123039116</v>
      </c>
      <c r="O83">
        <v>186.4814623973779</v>
      </c>
      <c r="Q83" s="49">
        <f t="shared" si="29"/>
        <v>10.988410314533324</v>
      </c>
      <c r="R83" s="8">
        <f t="shared" si="28"/>
        <v>2.4136992015898535</v>
      </c>
      <c r="S83" s="8">
        <f t="shared" si="36"/>
        <v>2.6393127733432529</v>
      </c>
      <c r="T83" s="50">
        <f t="shared" si="37"/>
        <v>12.015520278078409</v>
      </c>
      <c r="U83" s="57">
        <f t="shared" si="30"/>
        <v>9.6465725319101931</v>
      </c>
      <c r="V83" s="8">
        <f t="shared" si="31"/>
        <v>2.1189529469567421</v>
      </c>
      <c r="W83" s="8">
        <f t="shared" si="38"/>
        <v>2.3170159626073299</v>
      </c>
      <c r="X83" s="50">
        <f t="shared" si="39"/>
        <v>10.548258078588482</v>
      </c>
      <c r="Y83" s="57">
        <f t="shared" si="32"/>
        <v>7.7378924052755513</v>
      </c>
      <c r="Z83" s="8">
        <f t="shared" si="33"/>
        <v>1.6996948772380274</v>
      </c>
      <c r="AA83" s="8">
        <f t="shared" si="40"/>
        <v>1.8585689539630974</v>
      </c>
      <c r="AB83" s="50">
        <f t="shared" si="41"/>
        <v>8.4611695817554597</v>
      </c>
      <c r="AC83" s="49">
        <f t="shared" si="34"/>
        <v>7.2380060354341849</v>
      </c>
      <c r="AD83" s="8">
        <f t="shared" si="35"/>
        <v>1.5898905199893782</v>
      </c>
      <c r="AE83" s="8">
        <f t="shared" si="42"/>
        <v>1.7423516661404792</v>
      </c>
      <c r="AF83" s="50">
        <f t="shared" si="43"/>
        <v>7.9320882267150372</v>
      </c>
    </row>
    <row r="84" spans="1:32">
      <c r="A84">
        <f t="shared" si="44"/>
        <v>2013</v>
      </c>
      <c r="I84">
        <v>5.49</v>
      </c>
      <c r="J84">
        <v>4.9091424414151597</v>
      </c>
      <c r="K84">
        <v>105.30891630127405</v>
      </c>
      <c r="L84">
        <v>138.02823459461194</v>
      </c>
      <c r="M84">
        <v>160.76764721316422</v>
      </c>
      <c r="N84">
        <v>1.6126492796378304</v>
      </c>
      <c r="O84">
        <v>188.12901667394831</v>
      </c>
      <c r="Q84" s="49">
        <f t="shared" si="29"/>
        <v>13.440337002738584</v>
      </c>
      <c r="R84" s="8">
        <f t="shared" si="28"/>
        <v>2.4481488165279752</v>
      </c>
      <c r="S84" s="8">
        <f t="shared" si="36"/>
        <v>2.67698246668493</v>
      </c>
      <c r="T84" s="50">
        <f t="shared" si="37"/>
        <v>14.696633742100266</v>
      </c>
      <c r="U84" s="57">
        <f t="shared" si="30"/>
        <v>12.040005150185827</v>
      </c>
      <c r="V84" s="8">
        <f t="shared" si="31"/>
        <v>2.1930792623289301</v>
      </c>
      <c r="W84" s="8">
        <f t="shared" si="38"/>
        <v>2.3980710215284331</v>
      </c>
      <c r="X84" s="50">
        <f t="shared" si="39"/>
        <v>13.165409908191098</v>
      </c>
      <c r="Y84" s="57">
        <f t="shared" si="32"/>
        <v>9.7704319868486529</v>
      </c>
      <c r="Z84" s="8">
        <f t="shared" si="33"/>
        <v>1.7796779575316306</v>
      </c>
      <c r="AA84" s="8">
        <f t="shared" si="40"/>
        <v>1.946028222015719</v>
      </c>
      <c r="AB84" s="50">
        <f t="shared" si="41"/>
        <v>10.683694938866298</v>
      </c>
      <c r="AC84" s="49">
        <f t="shared" si="34"/>
        <v>8.9517184044971483</v>
      </c>
      <c r="AD84" s="8">
        <f t="shared" si="35"/>
        <v>1.630549800454854</v>
      </c>
      <c r="AE84" s="8">
        <f t="shared" si="42"/>
        <v>1.7869099323685009</v>
      </c>
      <c r="AF84" s="50">
        <f t="shared" si="43"/>
        <v>9.8101355287030714</v>
      </c>
    </row>
    <row r="85" spans="1:32">
      <c r="A85">
        <f t="shared" si="44"/>
        <v>2014</v>
      </c>
      <c r="I85">
        <v>8.1235999999999997</v>
      </c>
      <c r="J85">
        <v>6.802796220329471</v>
      </c>
      <c r="K85">
        <v>99.408902713441918</v>
      </c>
      <c r="L85">
        <v>135.04193603910971</v>
      </c>
      <c r="M85">
        <v>158.33275087835915</v>
      </c>
      <c r="N85">
        <v>1.6387851168156911</v>
      </c>
      <c r="O85">
        <v>187.27416656886254</v>
      </c>
      <c r="Q85" s="49">
        <f t="shared" si="29"/>
        <v>19.327329618425953</v>
      </c>
      <c r="R85" s="8">
        <f t="shared" si="28"/>
        <v>2.3791582079898017</v>
      </c>
      <c r="S85" s="8">
        <f t="shared" si="36"/>
        <v>2.6015431599827576</v>
      </c>
      <c r="T85" s="50">
        <f t="shared" si="37"/>
        <v>21.13389601443593</v>
      </c>
      <c r="U85" s="57">
        <f t="shared" si="30"/>
        <v>16.705050076975656</v>
      </c>
      <c r="V85" s="8">
        <f t="shared" si="31"/>
        <v>2.056360490050674</v>
      </c>
      <c r="W85" s="8">
        <f t="shared" si="38"/>
        <v>2.2485728563087868</v>
      </c>
      <c r="X85" s="50">
        <f t="shared" si="39"/>
        <v>18.266506455510061</v>
      </c>
      <c r="Y85" s="57">
        <f t="shared" si="32"/>
        <v>13.46677165296299</v>
      </c>
      <c r="Z85" s="8">
        <f t="shared" si="33"/>
        <v>1.6577344592253422</v>
      </c>
      <c r="AA85" s="8">
        <f t="shared" si="40"/>
        <v>1.8126864068906388</v>
      </c>
      <c r="AB85" s="50">
        <f t="shared" si="41"/>
        <v>14.725539295016793</v>
      </c>
      <c r="AC85" s="49">
        <f t="shared" si="34"/>
        <v>12.206921621512228</v>
      </c>
      <c r="AD85" s="8">
        <f t="shared" si="35"/>
        <v>1.5026492714452002</v>
      </c>
      <c r="AE85" s="8">
        <f t="shared" si="42"/>
        <v>1.6467444951774499</v>
      </c>
      <c r="AF85" s="50">
        <f t="shared" si="43"/>
        <v>13.377493581023531</v>
      </c>
    </row>
    <row r="86" spans="1:32">
      <c r="A86">
        <f t="shared" si="44"/>
        <v>2015</v>
      </c>
      <c r="I86">
        <v>9.43</v>
      </c>
      <c r="J86">
        <v>8.5686951195467103</v>
      </c>
      <c r="K86">
        <v>102.51950288951565</v>
      </c>
      <c r="L86">
        <v>145.11021592878367</v>
      </c>
      <c r="M86">
        <v>160.55230463482016</v>
      </c>
      <c r="N86">
        <v>1.647</v>
      </c>
      <c r="O86">
        <v>183.98915064655469</v>
      </c>
      <c r="Q86" s="49">
        <f t="shared" si="29"/>
        <v>23.076004986921468</v>
      </c>
      <c r="R86" s="8">
        <f t="shared" si="28"/>
        <v>2.4470843040213648</v>
      </c>
      <c r="S86" s="8">
        <f t="shared" si="36"/>
        <v>2.6758184519418213</v>
      </c>
      <c r="T86" s="50">
        <f t="shared" si="37"/>
        <v>25.232968001811376</v>
      </c>
      <c r="U86" s="57">
        <f t="shared" si="30"/>
        <v>19.142049347613082</v>
      </c>
      <c r="V86" s="8">
        <f t="shared" si="31"/>
        <v>2.02990979296003</v>
      </c>
      <c r="W86" s="8">
        <f t="shared" si="38"/>
        <v>2.2196497565914788</v>
      </c>
      <c r="X86" s="50">
        <f t="shared" si="39"/>
        <v>20.931297204657643</v>
      </c>
      <c r="Y86" s="57">
        <f t="shared" si="32"/>
        <v>16.352633065674802</v>
      </c>
      <c r="Z86" s="8">
        <f t="shared" si="33"/>
        <v>1.7341074300821635</v>
      </c>
      <c r="AA86" s="8">
        <f t="shared" si="40"/>
        <v>1.8961981209384409</v>
      </c>
      <c r="AB86" s="50">
        <f t="shared" si="41"/>
        <v>17.881148280449498</v>
      </c>
      <c r="AC86" s="49">
        <f t="shared" si="34"/>
        <v>15.298956043772254</v>
      </c>
      <c r="AD86" s="8">
        <f t="shared" si="35"/>
        <v>1.6223707363491255</v>
      </c>
      <c r="AE86" s="8">
        <f t="shared" si="42"/>
        <v>1.7779465441396178</v>
      </c>
      <c r="AF86" s="50">
        <f t="shared" si="43"/>
        <v>16.766035911236596</v>
      </c>
    </row>
    <row r="87" spans="1:32">
      <c r="A87">
        <f t="shared" si="44"/>
        <v>2016</v>
      </c>
      <c r="I87">
        <v>14.777446188672441</v>
      </c>
      <c r="J87">
        <v>12.115232433931457</v>
      </c>
      <c r="K87">
        <v>99.170058443253296</v>
      </c>
      <c r="L87">
        <v>137.28909182480567</v>
      </c>
      <c r="M87">
        <v>151.66151464047073</v>
      </c>
      <c r="N87">
        <v>1.6677771172531926</v>
      </c>
      <c r="O87">
        <v>182.99238439414933</v>
      </c>
      <c r="Q87" s="49">
        <f t="shared" si="29"/>
        <v>33.128364543394468</v>
      </c>
      <c r="R87" s="8">
        <f t="shared" si="28"/>
        <v>2.2418193320026303</v>
      </c>
      <c r="S87" s="8">
        <f t="shared" si="36"/>
        <v>2.4513669286483859</v>
      </c>
      <c r="T87" s="50">
        <f t="shared" si="37"/>
        <v>36.22494287679276</v>
      </c>
      <c r="U87" s="57">
        <f t="shared" si="30"/>
        <v>28.097251414516322</v>
      </c>
      <c r="V87" s="8">
        <f t="shared" si="31"/>
        <v>1.9013604283028345</v>
      </c>
      <c r="W87" s="8">
        <f t="shared" si="38"/>
        <v>2.079084610809677</v>
      </c>
      <c r="X87" s="50">
        <f t="shared" si="39"/>
        <v>30.723560957936986</v>
      </c>
      <c r="Y87" s="57">
        <f t="shared" si="32"/>
        <v>24.040433612247256</v>
      </c>
      <c r="Z87" s="8">
        <f t="shared" si="33"/>
        <v>1.6268327629354049</v>
      </c>
      <c r="AA87" s="8">
        <f t="shared" si="40"/>
        <v>1.7788962636605776</v>
      </c>
      <c r="AB87" s="50">
        <f t="shared" si="41"/>
        <v>26.287543811474649</v>
      </c>
      <c r="AC87" s="49">
        <f t="shared" si="34"/>
        <v>21.361632791153461</v>
      </c>
      <c r="AD87" s="8">
        <f t="shared" si="35"/>
        <v>1.4455564593784878</v>
      </c>
      <c r="AE87" s="8">
        <f t="shared" si="42"/>
        <v>1.5841768183604661</v>
      </c>
      <c r="AF87" s="50">
        <f t="shared" si="43"/>
        <v>23.410087686664102</v>
      </c>
    </row>
    <row r="88" spans="1:32">
      <c r="A88">
        <f t="shared" si="44"/>
        <v>2017</v>
      </c>
      <c r="I88">
        <v>16.556716666666663</v>
      </c>
      <c r="J88">
        <v>15.333078807395367</v>
      </c>
      <c r="K88">
        <v>95.008850429335169</v>
      </c>
      <c r="L88">
        <v>145.40148849519053</v>
      </c>
      <c r="M88">
        <v>156.22925891504519</v>
      </c>
      <c r="N88">
        <v>1.703306682643017</v>
      </c>
      <c r="O88">
        <v>182.96291175894964</v>
      </c>
      <c r="Q88" s="49">
        <f t="shared" si="29"/>
        <v>42.843932579394128</v>
      </c>
      <c r="R88" s="8">
        <f t="shared" si="28"/>
        <v>2.5877070582267701</v>
      </c>
      <c r="S88" s="8">
        <f t="shared" si="36"/>
        <v>2.8295855125401626</v>
      </c>
      <c r="T88" s="50">
        <f t="shared" si="37"/>
        <v>46.848645615232243</v>
      </c>
      <c r="U88" s="57">
        <f t="shared" si="30"/>
        <v>32.870313193032082</v>
      </c>
      <c r="V88" s="8">
        <f t="shared" si="31"/>
        <v>1.9853159207108548</v>
      </c>
      <c r="W88" s="8">
        <f t="shared" si="38"/>
        <v>2.1708876007426636</v>
      </c>
      <c r="X88" s="50">
        <f t="shared" si="39"/>
        <v>35.942770920676061</v>
      </c>
      <c r="Y88" s="57">
        <f t="shared" si="32"/>
        <v>28.915328985314304</v>
      </c>
      <c r="Z88" s="8">
        <f t="shared" si="33"/>
        <v>1.7464410104648955</v>
      </c>
      <c r="AA88" s="8">
        <f t="shared" si="40"/>
        <v>1.9096845471773687</v>
      </c>
      <c r="AB88" s="50">
        <f t="shared" si="41"/>
        <v>31.618105970327321</v>
      </c>
      <c r="AC88" s="49">
        <f t="shared" si="34"/>
        <v>26.471419040341392</v>
      </c>
      <c r="AD88" s="8">
        <f t="shared" si="35"/>
        <v>1.5988326413555061</v>
      </c>
      <c r="AE88" s="8">
        <f t="shared" si="42"/>
        <v>1.7521512843313012</v>
      </c>
      <c r="AF88" s="50">
        <f t="shared" si="43"/>
        <v>29.009872371809454</v>
      </c>
    </row>
    <row r="89" spans="1:32">
      <c r="A89">
        <f t="shared" si="44"/>
        <v>2018</v>
      </c>
      <c r="I89">
        <v>28.112430345117847</v>
      </c>
      <c r="J89">
        <v>20.573685655526166</v>
      </c>
      <c r="K89">
        <v>92.370904252046159</v>
      </c>
      <c r="L89">
        <v>173.45821576275918</v>
      </c>
      <c r="M89">
        <v>166.39750141692105</v>
      </c>
      <c r="N89">
        <v>1.7449095592299284</v>
      </c>
      <c r="O89">
        <v>182.09217009450006</v>
      </c>
      <c r="Q89" s="49">
        <f t="shared" si="29"/>
        <v>57.444580792403599</v>
      </c>
      <c r="R89" s="8">
        <f t="shared" si="28"/>
        <v>2.0433872165157618</v>
      </c>
      <c r="S89" s="8">
        <f t="shared" si="36"/>
        <v>2.2343869434451555</v>
      </c>
      <c r="T89" s="50">
        <f t="shared" si="37"/>
        <v>62.814047311642703</v>
      </c>
      <c r="U89" s="57">
        <f t="shared" si="30"/>
        <v>35.917714069144587</v>
      </c>
      <c r="V89" s="8">
        <f t="shared" si="31"/>
        <v>1.2776452846020923</v>
      </c>
      <c r="W89" s="8">
        <f t="shared" si="38"/>
        <v>1.3970694928477176</v>
      </c>
      <c r="X89" s="50">
        <f t="shared" si="39"/>
        <v>39.275018804970578</v>
      </c>
      <c r="Y89" s="57">
        <f t="shared" si="32"/>
        <v>35.389512391657135</v>
      </c>
      <c r="Z89" s="8">
        <f t="shared" si="33"/>
        <v>1.2588563833579427</v>
      </c>
      <c r="AA89" s="8">
        <f t="shared" si="40"/>
        <v>1.3765243532470146</v>
      </c>
      <c r="AB89" s="50">
        <f t="shared" si="41"/>
        <v>38.69744499901509</v>
      </c>
      <c r="AC89" s="49">
        <f t="shared" si="34"/>
        <v>34.672079001279108</v>
      </c>
      <c r="AD89" s="8">
        <f t="shared" si="35"/>
        <v>1.2333362350971711</v>
      </c>
      <c r="AE89" s="8">
        <f t="shared" si="42"/>
        <v>1.3516059232476827</v>
      </c>
      <c r="AF89" s="50">
        <f t="shared" si="43"/>
        <v>37.99692737134918</v>
      </c>
    </row>
    <row r="90" spans="1:32">
      <c r="A90">
        <f t="shared" si="44"/>
        <v>2019</v>
      </c>
      <c r="I90">
        <v>48.254858333333338</v>
      </c>
      <c r="J90">
        <v>31.619053730324666</v>
      </c>
      <c r="K90">
        <v>89.420186506540261</v>
      </c>
      <c r="L90">
        <v>165.71722329787011</v>
      </c>
      <c r="M90">
        <v>169.0650459907564</v>
      </c>
      <c r="N90">
        <v>1.7765269115717437</v>
      </c>
      <c r="O90" s="17">
        <v>177.42181281894955</v>
      </c>
      <c r="Q90" s="49">
        <f t="shared" si="29"/>
        <v>87.277506215217286</v>
      </c>
      <c r="R90" s="8">
        <f t="shared" si="28"/>
        <v>1.8086781151096656</v>
      </c>
      <c r="S90" s="8">
        <f t="shared" si="36"/>
        <v>1.977739085686826</v>
      </c>
      <c r="T90" s="50">
        <f t="shared" si="37"/>
        <v>95.435519400113989</v>
      </c>
      <c r="U90" s="57">
        <f t="shared" si="30"/>
        <v>55.29547030896272</v>
      </c>
      <c r="V90" s="8">
        <f t="shared" si="31"/>
        <v>1.1459047279134977</v>
      </c>
      <c r="W90" s="8">
        <f t="shared" si="38"/>
        <v>1.2530148675627888</v>
      </c>
      <c r="X90" s="50">
        <f t="shared" si="39"/>
        <v>60.464054923802806</v>
      </c>
      <c r="Y90" s="57">
        <f t="shared" si="32"/>
        <v>51.229626903891905</v>
      </c>
      <c r="Z90" s="8">
        <f t="shared" si="33"/>
        <v>1.0616470273316223</v>
      </c>
      <c r="AA90" s="8">
        <f t="shared" si="40"/>
        <v>1.1608814214184653</v>
      </c>
      <c r="AB90" s="50">
        <f t="shared" si="41"/>
        <v>56.018168532346678</v>
      </c>
      <c r="AC90" s="49">
        <f t="shared" si="34"/>
        <v>52.338079584522625</v>
      </c>
      <c r="AD90" s="8">
        <f t="shared" si="35"/>
        <v>1.0846178269343025</v>
      </c>
      <c r="AE90" s="8">
        <f t="shared" si="42"/>
        <v>1.1886262947824062</v>
      </c>
      <c r="AF90" s="50">
        <f t="shared" si="43"/>
        <v>57.356993465999921</v>
      </c>
    </row>
    <row r="91" spans="1:32">
      <c r="A91">
        <f t="shared" si="44"/>
        <v>2020</v>
      </c>
      <c r="I91">
        <v>70.634765241702738</v>
      </c>
      <c r="J91">
        <v>44.888811953675251</v>
      </c>
      <c r="K91">
        <v>77.491318955315279</v>
      </c>
      <c r="L91">
        <v>136.94192569812748</v>
      </c>
      <c r="M91">
        <v>143.86023992359009</v>
      </c>
      <c r="N91">
        <v>1.798445995106134</v>
      </c>
      <c r="O91" s="17">
        <v>176.50254885421694</v>
      </c>
      <c r="Q91" s="49">
        <f t="shared" si="29"/>
        <v>140.50521650216237</v>
      </c>
      <c r="R91" s="8">
        <f t="shared" si="28"/>
        <v>1.9891793512921332</v>
      </c>
      <c r="S91" s="8">
        <f t="shared" si="36"/>
        <v>2.1751121543553822</v>
      </c>
      <c r="T91" s="50">
        <f t="shared" si="37"/>
        <v>153.63853639726671</v>
      </c>
      <c r="U91" s="57">
        <f t="shared" si="30"/>
        <v>93.353020583817198</v>
      </c>
      <c r="V91" s="8">
        <f t="shared" si="31"/>
        <v>1.3216299405027485</v>
      </c>
      <c r="W91" s="8">
        <f t="shared" si="38"/>
        <v>1.4451654876068178</v>
      </c>
      <c r="X91" s="50">
        <f t="shared" si="39"/>
        <v>102.07892495251845</v>
      </c>
      <c r="Y91" s="57">
        <f t="shared" si="32"/>
        <v>83.992757824744601</v>
      </c>
      <c r="Z91" s="8">
        <f t="shared" si="33"/>
        <v>1.1891135694630341</v>
      </c>
      <c r="AA91" s="8">
        <f t="shared" si="40"/>
        <v>1.3002625309617486</v>
      </c>
      <c r="AB91" s="50">
        <f t="shared" si="41"/>
        <v>91.843738627065349</v>
      </c>
      <c r="AC91" s="49">
        <f t="shared" si="34"/>
        <v>73.397525021969869</v>
      </c>
      <c r="AD91" s="8">
        <f t="shared" si="35"/>
        <v>1.0391133143971434</v>
      </c>
      <c r="AE91" s="8">
        <f t="shared" si="42"/>
        <v>1.138758167235763</v>
      </c>
      <c r="AF91" s="50">
        <f t="shared" si="43"/>
        <v>80.435915809769782</v>
      </c>
    </row>
    <row r="92" spans="1:32">
      <c r="A92">
        <f t="shared" si="44"/>
        <v>2021</v>
      </c>
      <c r="I92">
        <v>95.093249999999998</v>
      </c>
      <c r="J92">
        <v>66.584087012530901</v>
      </c>
      <c r="K92">
        <v>95.737514441767431</v>
      </c>
      <c r="L92">
        <v>122.70088885275025</v>
      </c>
      <c r="M92">
        <v>143.38765027916438</v>
      </c>
      <c r="N92">
        <v>1.8829344496949594</v>
      </c>
      <c r="O92" s="17">
        <v>181.79329196290928</v>
      </c>
      <c r="Q92" s="49">
        <f t="shared" si="29"/>
        <v>165.95286854113914</v>
      </c>
      <c r="R92" s="8">
        <f t="shared" si="28"/>
        <v>1.745159288815338</v>
      </c>
      <c r="S92" s="8">
        <f t="shared" si="36"/>
        <v>1.9082830202931078</v>
      </c>
      <c r="T92" s="50">
        <f t="shared" si="37"/>
        <v>181.46483431948758</v>
      </c>
      <c r="U92" s="57">
        <f t="shared" si="30"/>
        <v>152.03322463394807</v>
      </c>
      <c r="V92" s="8">
        <f t="shared" si="31"/>
        <v>1.5987804038030888</v>
      </c>
      <c r="W92" s="8">
        <f t="shared" si="38"/>
        <v>1.7482217911614502</v>
      </c>
      <c r="X92" s="50">
        <f t="shared" si="39"/>
        <v>166.24409184236356</v>
      </c>
      <c r="Y92" s="57">
        <f t="shared" si="32"/>
        <v>122.96804933628144</v>
      </c>
      <c r="Z92" s="8">
        <f t="shared" si="33"/>
        <v>1.2931312089583797</v>
      </c>
      <c r="AA92" s="8">
        <f t="shared" si="40"/>
        <v>1.41400291932176</v>
      </c>
      <c r="AB92" s="50">
        <f t="shared" si="41"/>
        <v>134.46213310779396</v>
      </c>
      <c r="AC92" s="49">
        <f t="shared" si="34"/>
        <v>103.986258755533</v>
      </c>
      <c r="AD92" s="8">
        <f t="shared" si="35"/>
        <v>1.0935188223720718</v>
      </c>
      <c r="AE92" s="8">
        <f t="shared" si="42"/>
        <v>1.1983808433103198</v>
      </c>
      <c r="AF92" s="50">
        <f t="shared" si="43"/>
        <v>113.95792912811906</v>
      </c>
    </row>
    <row r="93" spans="1:32">
      <c r="A93">
        <f t="shared" si="44"/>
        <v>2022</v>
      </c>
      <c r="I93">
        <v>130.81163900000001</v>
      </c>
      <c r="J93">
        <v>114.74033996546228</v>
      </c>
      <c r="K93" s="16">
        <v>85.376144692734229</v>
      </c>
      <c r="L93" s="16">
        <v>129.67753101651664</v>
      </c>
      <c r="M93" s="16">
        <v>137.79343459857893</v>
      </c>
      <c r="N93">
        <v>2.0336219244556788</v>
      </c>
      <c r="O93" s="17">
        <v>178.36824584019223</v>
      </c>
      <c r="Q93" s="49">
        <f t="shared" si="29"/>
        <v>291.3269945144815</v>
      </c>
      <c r="R93" s="8">
        <f t="shared" si="28"/>
        <v>2.2270724282759078</v>
      </c>
      <c r="S93" s="8">
        <f t="shared" si="36"/>
        <v>2.4352416006259197</v>
      </c>
      <c r="T93" s="50">
        <f t="shared" si="37"/>
        <v>318.55794513886002</v>
      </c>
      <c r="U93" s="57">
        <f t="shared" si="30"/>
        <v>225.20179038225442</v>
      </c>
      <c r="V93" s="8">
        <f t="shared" si="31"/>
        <v>1.72157303512002</v>
      </c>
      <c r="W93" s="8">
        <f t="shared" si="38"/>
        <v>1.8824921095564413</v>
      </c>
      <c r="X93" s="50">
        <f t="shared" si="39"/>
        <v>246.25187825564566</v>
      </c>
      <c r="Y93" s="57">
        <f t="shared" si="32"/>
        <v>200.32071546621148</v>
      </c>
      <c r="Z93" s="8">
        <f t="shared" si="33"/>
        <v>1.5313676749070582</v>
      </c>
      <c r="AA93" s="8">
        <f t="shared" si="40"/>
        <v>1.6745078518503607</v>
      </c>
      <c r="AB93" s="50">
        <f t="shared" si="41"/>
        <v>219.04511661891488</v>
      </c>
      <c r="AC93" s="49">
        <f t="shared" si="34"/>
        <v>165.91537095529625</v>
      </c>
      <c r="AD93" s="8">
        <f t="shared" si="35"/>
        <v>1.2683532766934924</v>
      </c>
      <c r="AE93" s="8">
        <f t="shared" si="42"/>
        <v>1.3899808930972222</v>
      </c>
      <c r="AF93" s="50">
        <f t="shared" si="43"/>
        <v>181.82567880473144</v>
      </c>
    </row>
    <row r="94" spans="1:32">
      <c r="A94">
        <f t="shared" si="44"/>
        <v>2023</v>
      </c>
      <c r="I94">
        <v>295.29489711934099</v>
      </c>
      <c r="J94">
        <v>267.69790929016864</v>
      </c>
      <c r="K94" s="16">
        <v>88.48767773250708</v>
      </c>
      <c r="L94" s="16">
        <v>115.235849893664</v>
      </c>
      <c r="M94" s="16">
        <v>114.61514922655276</v>
      </c>
      <c r="N94">
        <v>2.0945626799084249</v>
      </c>
      <c r="O94" s="17">
        <v>176.24785183169803</v>
      </c>
      <c r="Q94" s="49">
        <f t="shared" si="29"/>
        <v>629.13878997433596</v>
      </c>
      <c r="R94" s="8">
        <f t="shared" si="28"/>
        <v>2.1305440632794772</v>
      </c>
      <c r="S94" s="8">
        <f t="shared" si="36"/>
        <v>2.3296905250995206</v>
      </c>
      <c r="T94" s="50">
        <f t="shared" si="37"/>
        <v>687.94572392916643</v>
      </c>
      <c r="U94" s="57">
        <f t="shared" si="30"/>
        <v>567.23230293341658</v>
      </c>
      <c r="V94" s="8">
        <f t="shared" si="31"/>
        <v>1.920901134651759</v>
      </c>
      <c r="W94" s="8">
        <f t="shared" si="38"/>
        <v>2.100451828329116</v>
      </c>
      <c r="X94" s="50">
        <f t="shared" si="39"/>
        <v>620.25270655057795</v>
      </c>
      <c r="Y94" s="57">
        <f t="shared" si="32"/>
        <v>539.04417355011606</v>
      </c>
      <c r="Z94" s="8">
        <f t="shared" si="33"/>
        <v>1.8254435779574809</v>
      </c>
      <c r="AA94" s="8">
        <f t="shared" si="40"/>
        <v>1.9960716518226991</v>
      </c>
      <c r="AB94" s="50">
        <f t="shared" si="41"/>
        <v>589.429773067817</v>
      </c>
      <c r="AC94" s="49">
        <f t="shared" si="34"/>
        <v>375.83076122309177</v>
      </c>
      <c r="AD94" s="8">
        <f t="shared" si="35"/>
        <v>1.272730293985415</v>
      </c>
      <c r="AE94" s="8">
        <f t="shared" si="42"/>
        <v>1.3947776405936207</v>
      </c>
      <c r="AF94" s="50">
        <f t="shared" si="43"/>
        <v>411.87071988345042</v>
      </c>
    </row>
    <row r="95" spans="1:32">
      <c r="A95">
        <f t="shared" si="44"/>
        <v>2024</v>
      </c>
      <c r="I95">
        <v>959.27235294117702</v>
      </c>
      <c r="J95">
        <v>855.7957527791043</v>
      </c>
      <c r="K95" s="16">
        <v>82.088880966737861</v>
      </c>
      <c r="L95" s="14">
        <f>L94</f>
        <v>115.235849893664</v>
      </c>
      <c r="M95" s="14">
        <f>M94</f>
        <v>114.61514922655276</v>
      </c>
      <c r="N95">
        <v>2.1081294323028978</v>
      </c>
      <c r="O95" s="17">
        <v>177.31754346364445</v>
      </c>
      <c r="Q95" s="49">
        <f t="shared" si="29"/>
        <v>2167.1752665705844</v>
      </c>
      <c r="R95" s="8">
        <f t="shared" si="28"/>
        <v>2.2591866219493522</v>
      </c>
      <c r="S95" s="8">
        <f t="shared" si="36"/>
        <v>2.4703575759355654</v>
      </c>
      <c r="T95" s="50">
        <f t="shared" si="37"/>
        <v>2369.745724473772</v>
      </c>
      <c r="U95" s="57">
        <f t="shared" si="30"/>
        <v>1812.6337659924968</v>
      </c>
      <c r="V95" s="8">
        <f t="shared" si="31"/>
        <v>1.88959241912359</v>
      </c>
      <c r="W95" s="8">
        <f t="shared" si="38"/>
        <v>2.0662166209113741</v>
      </c>
      <c r="X95" s="50">
        <f t="shared" si="39"/>
        <v>1982.0644796278218</v>
      </c>
      <c r="Y95" s="57">
        <f t="shared" si="32"/>
        <v>1722.5564645833538</v>
      </c>
      <c r="Z95" s="8">
        <f t="shared" si="33"/>
        <v>1.7956907225585199</v>
      </c>
      <c r="AA95" s="8">
        <f t="shared" si="40"/>
        <v>1.9635377340726379</v>
      </c>
      <c r="AB95" s="50">
        <f t="shared" si="41"/>
        <v>1883.5674622526465</v>
      </c>
      <c r="AC95" s="49">
        <f t="shared" si="34"/>
        <v>1193.7504837526017</v>
      </c>
      <c r="AD95" s="8">
        <f t="shared" si="35"/>
        <v>1.2444333250015003</v>
      </c>
      <c r="AE95" s="8">
        <f t="shared" si="42"/>
        <v>1.3637671587799556</v>
      </c>
      <c r="AF95" s="50">
        <f t="shared" si="43"/>
        <v>1308.2241312667518</v>
      </c>
    </row>
    <row r="96" spans="1:32">
      <c r="A96" s="18">
        <v>45658</v>
      </c>
      <c r="I96">
        <v>1069.1470000000004</v>
      </c>
      <c r="J96">
        <v>874.62325934024466</v>
      </c>
      <c r="K96" s="14">
        <f>K95</f>
        <v>82.088880966737861</v>
      </c>
      <c r="L96" s="14">
        <f>L95</f>
        <v>115.235849893664</v>
      </c>
      <c r="M96" s="14">
        <f t="shared" ref="M96:O101" si="45">M95</f>
        <v>114.61514922655276</v>
      </c>
      <c r="N96" s="14">
        <f>N95</f>
        <v>2.1081294323028978</v>
      </c>
      <c r="O96" s="14">
        <f>O95</f>
        <v>177.31754346364445</v>
      </c>
      <c r="Q96" s="49">
        <f t="shared" si="29"/>
        <v>2214.8531224351377</v>
      </c>
      <c r="R96" s="8">
        <f t="shared" si="28"/>
        <v>2.0716076670795847</v>
      </c>
      <c r="S96" s="8">
        <f t="shared" si="36"/>
        <v>2.265245219237574</v>
      </c>
      <c r="T96" s="50">
        <f t="shared" si="37"/>
        <v>2421.8801304121953</v>
      </c>
      <c r="U96" s="57">
        <f t="shared" si="30"/>
        <v>1852.5117088443324</v>
      </c>
      <c r="V96" s="8">
        <f t="shared" si="31"/>
        <v>1.732700656546136</v>
      </c>
      <c r="W96" s="8">
        <f t="shared" si="38"/>
        <v>1.8946598533032724</v>
      </c>
      <c r="X96" s="50">
        <f t="shared" si="39"/>
        <v>2025.6698981796344</v>
      </c>
      <c r="Y96" s="57">
        <f t="shared" si="32"/>
        <v>1760.452706804188</v>
      </c>
      <c r="Z96" s="8">
        <f t="shared" si="33"/>
        <v>1.6465955633829468</v>
      </c>
      <c r="AA96" s="8">
        <f t="shared" si="40"/>
        <v>1.800506334883982</v>
      </c>
      <c r="AB96" s="50">
        <f t="shared" si="41"/>
        <v>1925.0059464222054</v>
      </c>
      <c r="AC96" s="49">
        <f t="shared" si="34"/>
        <v>1220.0129943951592</v>
      </c>
      <c r="AD96" s="8">
        <f t="shared" si="35"/>
        <v>1.1411087478103188</v>
      </c>
      <c r="AE96" s="8">
        <f t="shared" si="42"/>
        <v>1.2505343625849583</v>
      </c>
      <c r="AF96" s="50">
        <f t="shared" si="43"/>
        <v>1337.0050621546209</v>
      </c>
    </row>
    <row r="97" spans="1:32">
      <c r="A97" s="18">
        <v>45689</v>
      </c>
      <c r="I97">
        <v>1085.1099999999999</v>
      </c>
      <c r="J97">
        <v>895.61421756441052</v>
      </c>
      <c r="K97" s="14">
        <f t="shared" ref="K97:L101" si="46">K96</f>
        <v>82.088880966737861</v>
      </c>
      <c r="L97" s="14">
        <f t="shared" si="46"/>
        <v>115.235849893664</v>
      </c>
      <c r="M97" s="14">
        <f t="shared" si="45"/>
        <v>114.61514922655276</v>
      </c>
      <c r="N97" s="14">
        <f t="shared" si="45"/>
        <v>2.1081294323028978</v>
      </c>
      <c r="O97" s="14">
        <f t="shared" si="45"/>
        <v>177.31754346364445</v>
      </c>
      <c r="Q97" s="49">
        <f t="shared" si="29"/>
        <v>2268.0095973735806</v>
      </c>
      <c r="R97" s="8">
        <f t="shared" si="28"/>
        <v>2.0901195246321396</v>
      </c>
      <c r="S97" s="8">
        <f t="shared" si="36"/>
        <v>2.2854874192866053</v>
      </c>
      <c r="T97" s="50">
        <f t="shared" si="37"/>
        <v>2480.0052535420882</v>
      </c>
      <c r="U97" s="57">
        <f t="shared" si="30"/>
        <v>1896.9719898565959</v>
      </c>
      <c r="V97" s="8">
        <f t="shared" si="31"/>
        <v>1.748184045724946</v>
      </c>
      <c r="W97" s="8">
        <f t="shared" si="38"/>
        <v>1.9115905076314341</v>
      </c>
      <c r="X97" s="50">
        <f t="shared" si="39"/>
        <v>2074.2859757359452</v>
      </c>
      <c r="Y97" s="57">
        <f t="shared" si="32"/>
        <v>1802.703571767488</v>
      </c>
      <c r="Z97" s="8">
        <f t="shared" si="33"/>
        <v>1.6613095186363485</v>
      </c>
      <c r="AA97" s="8">
        <f t="shared" si="40"/>
        <v>1.8165956346696075</v>
      </c>
      <c r="AB97" s="50">
        <f t="shared" si="41"/>
        <v>1971.2060891363376</v>
      </c>
      <c r="AC97" s="49">
        <f t="shared" si="34"/>
        <v>1249.2933062606428</v>
      </c>
      <c r="AD97" s="8">
        <f t="shared" si="35"/>
        <v>1.1513056798487185</v>
      </c>
      <c r="AE97" s="8">
        <f t="shared" si="42"/>
        <v>1.2617091204083746</v>
      </c>
      <c r="AF97" s="50">
        <f t="shared" si="43"/>
        <v>1369.0931836463312</v>
      </c>
    </row>
    <row r="98" spans="1:32">
      <c r="A98" s="18">
        <v>45717</v>
      </c>
      <c r="I98">
        <v>1105.7755555555555</v>
      </c>
      <c r="J98">
        <v>928.75194361429362</v>
      </c>
      <c r="K98" s="14">
        <f t="shared" si="46"/>
        <v>82.088880966737861</v>
      </c>
      <c r="L98" s="14">
        <f t="shared" si="46"/>
        <v>115.235849893664</v>
      </c>
      <c r="M98" s="14">
        <f t="shared" si="45"/>
        <v>114.61514922655276</v>
      </c>
      <c r="N98" s="14">
        <f t="shared" si="45"/>
        <v>2.1081294323028978</v>
      </c>
      <c r="O98" s="14">
        <f t="shared" si="45"/>
        <v>177.31754346364445</v>
      </c>
      <c r="Q98" s="49">
        <f t="shared" si="29"/>
        <v>2351.9259524764029</v>
      </c>
      <c r="R98" s="8">
        <f t="shared" si="28"/>
        <v>2.1269469565139429</v>
      </c>
      <c r="S98" s="8">
        <f t="shared" si="36"/>
        <v>2.3257571891531441</v>
      </c>
      <c r="T98" s="50">
        <f t="shared" si="37"/>
        <v>2571.7654479231451</v>
      </c>
      <c r="U98" s="57">
        <f t="shared" si="30"/>
        <v>1967.1599534812897</v>
      </c>
      <c r="V98" s="8">
        <f t="shared" si="31"/>
        <v>1.778986652036239</v>
      </c>
      <c r="W98" s="8">
        <f t="shared" si="38"/>
        <v>1.9452722987328728</v>
      </c>
      <c r="X98" s="50">
        <f t="shared" si="39"/>
        <v>2151.0345568381749</v>
      </c>
      <c r="Y98" s="57">
        <f t="shared" si="32"/>
        <v>1869.4036039228849</v>
      </c>
      <c r="Z98" s="8">
        <f t="shared" si="33"/>
        <v>1.690581415487769</v>
      </c>
      <c r="AA98" s="8">
        <f t="shared" si="40"/>
        <v>1.8486036376589825</v>
      </c>
      <c r="AB98" s="50">
        <f t="shared" si="41"/>
        <v>2044.1407144343821</v>
      </c>
      <c r="AC98" s="49">
        <f t="shared" si="34"/>
        <v>1295.5171585922865</v>
      </c>
      <c r="AD98" s="8">
        <f t="shared" si="35"/>
        <v>1.1715914247547301</v>
      </c>
      <c r="AE98" s="8">
        <f t="shared" si="42"/>
        <v>1.2839401488921007</v>
      </c>
      <c r="AF98" s="50">
        <f t="shared" si="43"/>
        <v>1419.7496314412454</v>
      </c>
    </row>
    <row r="99" spans="1:32">
      <c r="A99" s="18">
        <v>45748</v>
      </c>
      <c r="I99">
        <v>1145.6657894736843</v>
      </c>
      <c r="J99">
        <v>954.75699803549389</v>
      </c>
      <c r="K99" s="14">
        <f t="shared" si="46"/>
        <v>82.088880966737861</v>
      </c>
      <c r="L99" s="14">
        <f t="shared" si="46"/>
        <v>115.235849893664</v>
      </c>
      <c r="M99" s="14">
        <f t="shared" si="45"/>
        <v>114.61514922655276</v>
      </c>
      <c r="N99" s="14">
        <f t="shared" si="45"/>
        <v>2.1081294323028978</v>
      </c>
      <c r="O99" s="14">
        <f t="shared" si="45"/>
        <v>177.31754346364445</v>
      </c>
      <c r="Q99" s="49">
        <f t="shared" si="29"/>
        <v>2417.7798791457421</v>
      </c>
      <c r="R99" s="8">
        <f t="shared" si="28"/>
        <v>2.1103710186340323</v>
      </c>
      <c r="S99" s="8">
        <f t="shared" si="36"/>
        <v>2.3076318632849597</v>
      </c>
      <c r="T99" s="50">
        <f t="shared" si="37"/>
        <v>2643.7748804649923</v>
      </c>
      <c r="U99" s="57">
        <f t="shared" si="30"/>
        <v>2022.2404321787658</v>
      </c>
      <c r="V99" s="8">
        <f t="shared" si="31"/>
        <v>1.7651224735511895</v>
      </c>
      <c r="W99" s="8">
        <f t="shared" si="38"/>
        <v>1.9301122061482627</v>
      </c>
      <c r="X99" s="50">
        <f t="shared" si="39"/>
        <v>2211.2635244296439</v>
      </c>
      <c r="Y99" s="57">
        <f t="shared" si="32"/>
        <v>1921.7469048327259</v>
      </c>
      <c r="Z99" s="8">
        <f t="shared" si="33"/>
        <v>1.677406205622646</v>
      </c>
      <c r="AA99" s="8">
        <f t="shared" si="40"/>
        <v>1.8341969130490592</v>
      </c>
      <c r="AB99" s="50">
        <f t="shared" si="41"/>
        <v>2101.3766544385448</v>
      </c>
      <c r="AC99" s="49">
        <f t="shared" si="34"/>
        <v>1331.7916390328705</v>
      </c>
      <c r="AD99" s="8">
        <f t="shared" si="35"/>
        <v>1.1624608601123474</v>
      </c>
      <c r="AE99" s="8">
        <f t="shared" si="42"/>
        <v>1.2739340168236077</v>
      </c>
      <c r="AF99" s="50">
        <f t="shared" si="43"/>
        <v>1459.5026211216004</v>
      </c>
    </row>
    <row r="100" spans="1:32">
      <c r="A100" s="18">
        <v>45778</v>
      </c>
      <c r="I100">
        <v>1146.2105263157894</v>
      </c>
      <c r="J100">
        <v>969.07835300602619</v>
      </c>
      <c r="K100" s="14">
        <f t="shared" si="46"/>
        <v>82.088880966737861</v>
      </c>
      <c r="L100" s="14">
        <f t="shared" si="46"/>
        <v>115.235849893664</v>
      </c>
      <c r="M100" s="14">
        <f t="shared" si="45"/>
        <v>114.61514922655276</v>
      </c>
      <c r="N100" s="14">
        <f t="shared" si="45"/>
        <v>2.1081294323028978</v>
      </c>
      <c r="O100" s="14">
        <f t="shared" si="45"/>
        <v>177.31754346364445</v>
      </c>
      <c r="Q100" s="49">
        <f t="shared" si="29"/>
        <v>2454.0465773329279</v>
      </c>
      <c r="R100" s="8">
        <f t="shared" si="28"/>
        <v>2.1410085852385725</v>
      </c>
      <c r="S100" s="8">
        <f t="shared" si="36"/>
        <v>2.341133188069032</v>
      </c>
      <c r="T100" s="50">
        <f t="shared" si="37"/>
        <v>2683.4315036719672</v>
      </c>
      <c r="U100" s="57">
        <f t="shared" si="30"/>
        <v>2052.574038661447</v>
      </c>
      <c r="V100" s="8">
        <f t="shared" si="31"/>
        <v>1.7907478526296032</v>
      </c>
      <c r="W100" s="8">
        <f t="shared" si="38"/>
        <v>1.9581328436323666</v>
      </c>
      <c r="X100" s="50">
        <f t="shared" si="39"/>
        <v>2244.4324772960881</v>
      </c>
      <c r="Y100" s="57">
        <f t="shared" si="32"/>
        <v>1950.5731084052165</v>
      </c>
      <c r="Z100" s="8">
        <f t="shared" si="33"/>
        <v>1.7017581531682946</v>
      </c>
      <c r="AA100" s="8">
        <f t="shared" si="40"/>
        <v>1.8608250886604527</v>
      </c>
      <c r="AB100" s="50">
        <f t="shared" si="41"/>
        <v>2132.8973042551229</v>
      </c>
      <c r="AC100" s="49">
        <f t="shared" si="34"/>
        <v>1351.7685136183634</v>
      </c>
      <c r="AD100" s="8">
        <f t="shared" si="35"/>
        <v>1.1793370262994263</v>
      </c>
      <c r="AE100" s="8">
        <f t="shared" si="42"/>
        <v>1.292428508050788</v>
      </c>
      <c r="AF100" s="50">
        <f t="shared" si="43"/>
        <v>1481.3951604384242</v>
      </c>
    </row>
    <row r="101" spans="1:32" ht="15" thickBot="1">
      <c r="A101" s="18">
        <v>45809</v>
      </c>
      <c r="I101">
        <v>1181.0999999999999</v>
      </c>
      <c r="J101">
        <v>984.5836066541226</v>
      </c>
      <c r="K101" s="14">
        <f t="shared" si="46"/>
        <v>82.088880966737861</v>
      </c>
      <c r="L101" s="14">
        <f t="shared" si="46"/>
        <v>115.235849893664</v>
      </c>
      <c r="M101" s="14">
        <f t="shared" si="45"/>
        <v>114.61514922655276</v>
      </c>
      <c r="N101" s="14">
        <f t="shared" si="45"/>
        <v>2.1081294323028978</v>
      </c>
      <c r="O101" s="14">
        <f t="shared" si="45"/>
        <v>177.31754346364445</v>
      </c>
      <c r="Q101" s="51">
        <f t="shared" si="29"/>
        <v>2493.3113225702555</v>
      </c>
      <c r="R101" s="52">
        <f t="shared" si="28"/>
        <v>2.1110078084584334</v>
      </c>
      <c r="S101" s="52">
        <f t="shared" si="36"/>
        <v>2.3083281752016931</v>
      </c>
      <c r="T101" s="53">
        <f t="shared" si="37"/>
        <v>2726.3664077307194</v>
      </c>
      <c r="U101" s="58">
        <f t="shared" si="30"/>
        <v>2085.4152232800307</v>
      </c>
      <c r="V101" s="52">
        <f t="shared" si="31"/>
        <v>1.7656550870206</v>
      </c>
      <c r="W101" s="52">
        <f t="shared" si="38"/>
        <v>1.9306946041256676</v>
      </c>
      <c r="X101" s="53">
        <f t="shared" si="39"/>
        <v>2280.3433969328257</v>
      </c>
      <c r="Y101" s="58">
        <f t="shared" si="32"/>
        <v>1981.7822781397003</v>
      </c>
      <c r="Z101" s="52">
        <f t="shared" si="33"/>
        <v>1.6779123513163157</v>
      </c>
      <c r="AA101" s="52">
        <f t="shared" si="40"/>
        <v>1.8347503692517189</v>
      </c>
      <c r="AB101" s="53">
        <f t="shared" si="41"/>
        <v>2167.0236611232049</v>
      </c>
      <c r="AC101" s="51">
        <f t="shared" si="34"/>
        <v>1373.3968098362575</v>
      </c>
      <c r="AD101" s="52">
        <f t="shared" si="35"/>
        <v>1.1628116246179474</v>
      </c>
      <c r="AE101" s="52">
        <f t="shared" si="42"/>
        <v>1.2743184175814406</v>
      </c>
      <c r="AF101" s="53">
        <f t="shared" si="43"/>
        <v>1505.0974830054395</v>
      </c>
    </row>
  </sheetData>
  <mergeCells count="9">
    <mergeCell ref="U4:V4"/>
    <mergeCell ref="Y4:Z4"/>
    <mergeCell ref="B1:F1"/>
    <mergeCell ref="I1:O1"/>
    <mergeCell ref="Q1:AD1"/>
    <mergeCell ref="Q2:T2"/>
    <mergeCell ref="U2:X2"/>
    <mergeCell ref="Y2:AB2"/>
    <mergeCell ref="AC2:AF2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95"/>
  <sheetViews>
    <sheetView tabSelected="1" zoomScale="75" zoomScaleNormal="75" workbookViewId="0">
      <pane xSplit="1" ySplit="4" topLeftCell="V103" activePane="bottomRight" state="frozen"/>
      <selection pane="topRight" activeCell="B1" sqref="B1"/>
      <selection pane="bottomLeft" activeCell="A5" sqref="A5"/>
      <selection pane="bottomRight" activeCell="X112" sqref="X112"/>
    </sheetView>
  </sheetViews>
  <sheetFormatPr baseColWidth="10" defaultRowHeight="14.4"/>
  <cols>
    <col min="3" max="3" width="18.6640625" customWidth="1"/>
    <col min="8" max="8" width="15.88671875" customWidth="1"/>
    <col min="9" max="9" width="10.6640625" customWidth="1"/>
    <col min="10" max="10" width="15.6640625" customWidth="1"/>
    <col min="14" max="14" width="12.44140625" bestFit="1" customWidth="1"/>
    <col min="21" max="22" width="12.88671875" customWidth="1"/>
    <col min="23" max="25" width="14.5546875" customWidth="1"/>
    <col min="26" max="26" width="10.21875" customWidth="1"/>
    <col min="27" max="29" width="15.5546875" customWidth="1"/>
    <col min="30" max="30" width="11.109375" customWidth="1"/>
    <col min="31" max="33" width="14.109375" customWidth="1"/>
    <col min="34" max="34" width="8.21875" customWidth="1"/>
    <col min="35" max="37" width="14.21875" customWidth="1"/>
  </cols>
  <sheetData>
    <row r="1" spans="1:41" s="3" customFormat="1" ht="15" thickBot="1">
      <c r="B1" s="41" t="s">
        <v>10</v>
      </c>
      <c r="C1" s="42"/>
      <c r="D1" s="42"/>
      <c r="E1" s="42"/>
      <c r="F1" s="42"/>
      <c r="G1" s="26"/>
      <c r="H1" s="26"/>
      <c r="I1" s="26"/>
      <c r="N1" s="38" t="s">
        <v>11</v>
      </c>
      <c r="O1" s="39"/>
      <c r="P1" s="39"/>
      <c r="Q1" s="39"/>
      <c r="R1" s="39"/>
      <c r="S1" s="39"/>
      <c r="T1" s="40"/>
      <c r="U1" s="21"/>
      <c r="V1" s="43" t="s">
        <v>11</v>
      </c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59"/>
      <c r="AJ1" s="27"/>
      <c r="AK1" s="27"/>
      <c r="AM1" s="3" t="s">
        <v>110</v>
      </c>
    </row>
    <row r="2" spans="1:41" s="3" customFormat="1">
      <c r="B2" s="4"/>
      <c r="C2" s="5"/>
      <c r="D2" s="6"/>
      <c r="E2" s="3" t="s">
        <v>26</v>
      </c>
      <c r="F2" s="3" t="s">
        <v>27</v>
      </c>
      <c r="G2" s="3" t="s">
        <v>29</v>
      </c>
      <c r="H2" s="3" t="s">
        <v>29</v>
      </c>
      <c r="J2" s="3" t="s">
        <v>99</v>
      </c>
      <c r="L2" s="3" t="s">
        <v>103</v>
      </c>
      <c r="O2" s="3" t="s">
        <v>7</v>
      </c>
      <c r="S2" s="3" t="s">
        <v>8</v>
      </c>
      <c r="T2" s="3" t="s">
        <v>8</v>
      </c>
      <c r="V2" s="44" t="s">
        <v>109</v>
      </c>
      <c r="W2" s="45"/>
      <c r="X2" s="45"/>
      <c r="Y2" s="46"/>
      <c r="Z2" s="44" t="s">
        <v>117</v>
      </c>
      <c r="AA2" s="45"/>
      <c r="AB2" s="45"/>
      <c r="AC2" s="46"/>
      <c r="AD2" s="44" t="s">
        <v>118</v>
      </c>
      <c r="AE2" s="45"/>
      <c r="AF2" s="45"/>
      <c r="AG2" s="46"/>
      <c r="AH2" s="44" t="s">
        <v>3</v>
      </c>
      <c r="AI2" s="60"/>
      <c r="AJ2" s="60"/>
      <c r="AK2" s="61"/>
      <c r="AM2" s="3" t="s">
        <v>111</v>
      </c>
      <c r="AN2" s="3" t="s">
        <v>112</v>
      </c>
      <c r="AO2" s="3" t="s">
        <v>113</v>
      </c>
    </row>
    <row r="3" spans="1:41" s="3" customFormat="1">
      <c r="B3" s="4" t="s">
        <v>0</v>
      </c>
      <c r="C3" s="5" t="s">
        <v>1</v>
      </c>
      <c r="D3" s="6" t="s">
        <v>2</v>
      </c>
      <c r="G3" s="31">
        <v>1993</v>
      </c>
      <c r="H3" s="31">
        <v>1993</v>
      </c>
      <c r="I3" s="31"/>
      <c r="J3" s="3" t="s">
        <v>100</v>
      </c>
      <c r="L3" s="3" t="s">
        <v>104</v>
      </c>
      <c r="N3" s="3" t="s">
        <v>0</v>
      </c>
      <c r="O3" s="3" t="s">
        <v>3</v>
      </c>
      <c r="P3" s="3" t="s">
        <v>105</v>
      </c>
      <c r="Q3" s="3" t="s">
        <v>16</v>
      </c>
      <c r="R3" s="3" t="s">
        <v>16</v>
      </c>
      <c r="S3" s="3" t="s">
        <v>3</v>
      </c>
      <c r="T3" s="3" t="s">
        <v>106</v>
      </c>
      <c r="U3" s="3" t="s">
        <v>108</v>
      </c>
      <c r="V3" s="47" t="s">
        <v>114</v>
      </c>
      <c r="W3" s="5" t="s">
        <v>115</v>
      </c>
      <c r="X3" s="5" t="s">
        <v>19</v>
      </c>
      <c r="Y3" s="48" t="s">
        <v>116</v>
      </c>
      <c r="Z3" s="47" t="s">
        <v>114</v>
      </c>
      <c r="AA3" s="5" t="s">
        <v>115</v>
      </c>
      <c r="AB3" s="5" t="s">
        <v>19</v>
      </c>
      <c r="AC3" s="48" t="s">
        <v>116</v>
      </c>
      <c r="AD3" s="47" t="s">
        <v>114</v>
      </c>
      <c r="AE3" s="5" t="s">
        <v>115</v>
      </c>
      <c r="AF3" s="5" t="s">
        <v>19</v>
      </c>
      <c r="AG3" s="48" t="s">
        <v>116</v>
      </c>
      <c r="AH3" s="47" t="s">
        <v>114</v>
      </c>
      <c r="AI3" s="5" t="s">
        <v>115</v>
      </c>
      <c r="AJ3" s="5" t="s">
        <v>19</v>
      </c>
      <c r="AK3" s="48" t="s">
        <v>116</v>
      </c>
    </row>
    <row r="4" spans="1:41" s="3" customFormat="1">
      <c r="B4" s="4"/>
      <c r="C4" s="5"/>
      <c r="D4" s="6"/>
      <c r="G4" s="3" t="s">
        <v>97</v>
      </c>
      <c r="H4" s="3" t="s">
        <v>98</v>
      </c>
      <c r="I4" s="31" t="s">
        <v>101</v>
      </c>
      <c r="K4" s="31" t="s">
        <v>101</v>
      </c>
      <c r="L4" s="3" t="s">
        <v>102</v>
      </c>
      <c r="O4" s="3" t="s">
        <v>4</v>
      </c>
      <c r="P4" s="3" t="s">
        <v>6</v>
      </c>
      <c r="Q4" s="3" t="s">
        <v>22</v>
      </c>
      <c r="R4" s="3" t="s">
        <v>23</v>
      </c>
      <c r="T4" s="3" t="s">
        <v>107</v>
      </c>
      <c r="V4" s="47"/>
      <c r="W4" s="5"/>
      <c r="X4" s="5"/>
      <c r="Y4" s="48"/>
      <c r="Z4" s="54"/>
      <c r="AA4" s="42"/>
      <c r="AB4" s="27"/>
      <c r="AC4" s="55"/>
      <c r="AD4" s="54"/>
      <c r="AE4" s="42"/>
      <c r="AF4" s="27"/>
      <c r="AG4" s="55"/>
      <c r="AH4" s="47"/>
      <c r="AI4" s="5"/>
      <c r="AJ4" s="5"/>
      <c r="AK4" s="48"/>
    </row>
    <row r="5" spans="1:41" s="3" customFormat="1">
      <c r="A5" s="3" t="s">
        <v>28</v>
      </c>
      <c r="B5" s="4"/>
      <c r="C5" s="5"/>
      <c r="D5" s="6"/>
      <c r="N5" s="3">
        <f>AVERAGE(N30:N43)</f>
        <v>2.631642857142857E-11</v>
      </c>
      <c r="O5" s="3">
        <f t="shared" ref="O5:W5" si="0">AVERAGE(O30:O43)</f>
        <v>2.0804430379746834E-12</v>
      </c>
      <c r="P5" s="3">
        <f t="shared" si="0"/>
        <v>66.332425664107546</v>
      </c>
      <c r="Q5" s="3">
        <f t="shared" si="0"/>
        <v>67.349656456986239</v>
      </c>
      <c r="R5" s="3">
        <f t="shared" si="0"/>
        <v>63.658030902525795</v>
      </c>
      <c r="S5" s="3">
        <f t="shared" si="0"/>
        <v>0.23247142857142858</v>
      </c>
      <c r="T5" s="3">
        <f t="shared" si="0"/>
        <v>41.703571428571429</v>
      </c>
      <c r="V5" s="47">
        <f t="shared" si="0"/>
        <v>2.3738204313342408E-11</v>
      </c>
      <c r="W5" s="5">
        <f t="shared" si="0"/>
        <v>0.91630821484158176</v>
      </c>
      <c r="X5" s="5"/>
      <c r="Y5" s="48"/>
      <c r="Z5" s="47">
        <f t="shared" ref="Z5:AA5" si="1">AVERAGE(Z30:Z43)</f>
        <v>2.3738204313342411E-11</v>
      </c>
      <c r="AA5" s="5">
        <f t="shared" si="1"/>
        <v>0.91630821484158187</v>
      </c>
      <c r="AB5" s="27"/>
      <c r="AC5" s="55"/>
      <c r="AD5" s="47">
        <f t="shared" ref="AD5:AE5" si="2">AVERAGE(AD30:AD43)</f>
        <v>2.3738204313342411E-11</v>
      </c>
      <c r="AE5" s="5">
        <f t="shared" si="2"/>
        <v>0.91630821484158187</v>
      </c>
      <c r="AF5" s="27"/>
      <c r="AG5" s="55"/>
      <c r="AH5" s="47">
        <f t="shared" ref="AH5:AI5" si="3">AVERAGE(AH30:AH43)</f>
        <v>2.4285678486719009E-11</v>
      </c>
      <c r="AI5" s="5">
        <f t="shared" si="3"/>
        <v>0.91249691488009366</v>
      </c>
      <c r="AJ5" s="5"/>
      <c r="AK5" s="48"/>
    </row>
    <row r="6" spans="1:41" s="3" customFormat="1">
      <c r="A6"/>
      <c r="B6" s="4"/>
      <c r="C6" s="5"/>
      <c r="D6" s="6"/>
      <c r="V6" s="47"/>
      <c r="W6" s="5"/>
      <c r="X6" s="5"/>
      <c r="Y6" s="48"/>
      <c r="Z6" s="56"/>
      <c r="AA6" s="27"/>
      <c r="AB6" s="27"/>
      <c r="AC6" s="55"/>
      <c r="AD6" s="56"/>
      <c r="AE6" s="27"/>
      <c r="AF6" s="27"/>
      <c r="AG6" s="55"/>
      <c r="AH6" s="47"/>
      <c r="AI6" s="5"/>
      <c r="AJ6" s="5"/>
      <c r="AK6" s="48"/>
    </row>
    <row r="7" spans="1:41" s="22" customFormat="1">
      <c r="A7" s="22">
        <f t="shared" ref="A7:A59" si="4">A8-1</f>
        <v>1936</v>
      </c>
      <c r="B7" s="23"/>
      <c r="C7" s="24">
        <v>2.9400000000000001E-13</v>
      </c>
      <c r="D7" s="25"/>
      <c r="E7" s="22">
        <v>0.223</v>
      </c>
      <c r="F7" s="22">
        <v>0.186</v>
      </c>
      <c r="G7" s="29" t="s">
        <v>30</v>
      </c>
      <c r="H7" s="33" t="str">
        <f t="shared" ref="H7:H62" si="5">G7</f>
        <v>38390</v>
      </c>
      <c r="I7" s="30">
        <f t="shared" ref="I7:I67" si="6">H7/H$68*100</f>
        <v>13.438520486317287</v>
      </c>
      <c r="J7" s="22">
        <v>5194000</v>
      </c>
      <c r="K7" s="30">
        <f t="shared" ref="K7:K67" si="7">J7/J$68*100</f>
        <v>41.627479654464821</v>
      </c>
      <c r="L7" s="30">
        <f t="shared" ref="L7:L67" si="8">I7/K7*100</f>
        <v>32.282810772753372</v>
      </c>
      <c r="N7" s="22">
        <v>3.0099999999999998E-13</v>
      </c>
      <c r="O7" s="22">
        <v>1.1740506329113924E-14</v>
      </c>
      <c r="P7" s="34">
        <f>L7</f>
        <v>32.282810772753372</v>
      </c>
      <c r="Q7" s="14">
        <f t="shared" ref="Q7:Q61" si="9">Q8*P7/P8</f>
        <v>32.777878891700333</v>
      </c>
      <c r="R7" s="14">
        <f t="shared" ref="R7:R61" si="10">R8*P7/P8</f>
        <v>30.98123044977563</v>
      </c>
      <c r="S7" s="22">
        <v>9.6189999999999998E-2</v>
      </c>
      <c r="T7" s="14">
        <f>T8*'Largo Plazo'!O7/'Largo Plazo'!O8</f>
        <v>19.973402843601896</v>
      </c>
      <c r="V7" s="49">
        <f t="shared" ref="V7:V61" si="11">N$5*((O7/O$5)/(S7/S$5))*((T7/T$5)/(P7/P$5))</f>
        <v>3.5320834737375782E-13</v>
      </c>
      <c r="W7" s="8">
        <f t="shared" ref="W7:W70" si="12">V7/N7</f>
        <v>1.1734496590490293</v>
      </c>
      <c r="X7" s="8">
        <f>W7/W$5</f>
        <v>1.2806276753198202</v>
      </c>
      <c r="Y7" s="50">
        <f>N7*X7</f>
        <v>3.8546893027126587E-13</v>
      </c>
      <c r="Z7" s="57">
        <f t="shared" ref="Z7:Z62" si="13">N$5*((O7/O$5)/(S7/S$5))*((T7/T$5)/(Q7/Q$5))</f>
        <v>3.5320834737375817E-13</v>
      </c>
      <c r="AA7" s="8">
        <f>Z7/N7</f>
        <v>1.1734496590490306</v>
      </c>
      <c r="AB7" s="8">
        <f>AA7/AA$5</f>
        <v>1.2806276753198216</v>
      </c>
      <c r="AC7" s="50">
        <f>N7*AB7</f>
        <v>3.8546893027126627E-13</v>
      </c>
      <c r="AD7" s="57">
        <f t="shared" ref="AD7:AD62" si="14">N$5*((O7/O$5)/(S7/S$5))*((T7/T$5)/(R7/R$5))</f>
        <v>3.5320834737375782E-13</v>
      </c>
      <c r="AE7" s="8">
        <f>AD7/N7</f>
        <v>1.1734496590490293</v>
      </c>
      <c r="AF7" s="8">
        <f>AE7/AE$5</f>
        <v>1.2806276753198202</v>
      </c>
      <c r="AG7" s="50">
        <f>N7*AF7</f>
        <v>3.8546893027126587E-13</v>
      </c>
      <c r="AH7" s="49">
        <f t="shared" ref="AH7:AH62" si="15">N$5*((O7/O$5)/(S7/S$5))</f>
        <v>3.5891995752115357E-13</v>
      </c>
      <c r="AI7" s="8">
        <f>AH7/N7</f>
        <v>1.1924251080436996</v>
      </c>
      <c r="AJ7" s="8">
        <f>AI7/AI$5</f>
        <v>1.30677165982571</v>
      </c>
      <c r="AK7" s="50">
        <f>N7*AJ7</f>
        <v>3.9333826960753868E-13</v>
      </c>
      <c r="AM7" s="35">
        <f>Y7/C7-1</f>
        <v>0.3111188104464826</v>
      </c>
      <c r="AN7" s="35">
        <f>AC7/C7-1</f>
        <v>0.31111881044648393</v>
      </c>
      <c r="AO7" s="35">
        <f>AG7/C7-1</f>
        <v>0.3111188104464826</v>
      </c>
    </row>
    <row r="8" spans="1:41" s="22" customFormat="1">
      <c r="A8" s="22">
        <f t="shared" si="4"/>
        <v>1937</v>
      </c>
      <c r="B8" s="23"/>
      <c r="C8" s="24">
        <v>2.8699999999999999E-13</v>
      </c>
      <c r="D8" s="25"/>
      <c r="E8" s="22">
        <v>0.22500000000000001</v>
      </c>
      <c r="F8" s="22">
        <v>0.185</v>
      </c>
      <c r="G8" s="29" t="s">
        <v>31</v>
      </c>
      <c r="H8" s="33" t="str">
        <f t="shared" si="5"/>
        <v>41172</v>
      </c>
      <c r="I8" s="30">
        <f t="shared" si="6"/>
        <v>14.412366904471357</v>
      </c>
      <c r="J8" s="22">
        <v>5449000</v>
      </c>
      <c r="K8" s="30">
        <f t="shared" si="7"/>
        <v>43.671185336384063</v>
      </c>
      <c r="L8" s="30">
        <f t="shared" si="8"/>
        <v>33.002005311872971</v>
      </c>
      <c r="N8" s="22">
        <v>3.0300000000000002E-13</v>
      </c>
      <c r="O8" s="22">
        <v>1.2050632911392405E-14</v>
      </c>
      <c r="P8" s="34">
        <f t="shared" ref="P8:P71" si="16">L8</f>
        <v>33.002005311872971</v>
      </c>
      <c r="Q8" s="14">
        <f t="shared" si="9"/>
        <v>33.508102528941073</v>
      </c>
      <c r="R8" s="14">
        <f t="shared" si="10"/>
        <v>31.671428459841408</v>
      </c>
      <c r="S8" s="22">
        <v>9.9650000000000002E-2</v>
      </c>
      <c r="T8" s="14">
        <f>T9*'Largo Plazo'!O8/'Largo Plazo'!O9</f>
        <v>19.866018957345972</v>
      </c>
      <c r="V8" s="49">
        <f t="shared" si="11"/>
        <v>3.4048376238871758E-13</v>
      </c>
      <c r="W8" s="8">
        <f t="shared" si="12"/>
        <v>1.1237087867614441</v>
      </c>
      <c r="X8" s="8">
        <f t="shared" ref="X8:X71" si="17">W8/W$5</f>
        <v>1.2263436784267172</v>
      </c>
      <c r="Y8" s="50">
        <f t="shared" ref="Y8:Y71" si="18">N8*X8</f>
        <v>3.7158213456329536E-13</v>
      </c>
      <c r="Z8" s="57">
        <f t="shared" si="13"/>
        <v>3.4048376238871783E-13</v>
      </c>
      <c r="AA8" s="8">
        <f>Z8/N8</f>
        <v>1.1237087867614448</v>
      </c>
      <c r="AB8" s="8">
        <f t="shared" ref="AB8:AB71" si="19">AA8/AA$5</f>
        <v>1.2263436784267179</v>
      </c>
      <c r="AC8" s="50">
        <f t="shared" ref="AC8:AC71" si="20">N8*AB8</f>
        <v>3.7158213456329556E-13</v>
      </c>
      <c r="AD8" s="57">
        <f t="shared" si="14"/>
        <v>3.4048376238871758E-13</v>
      </c>
      <c r="AE8" s="8">
        <f>AD8/N8</f>
        <v>1.1237087867614441</v>
      </c>
      <c r="AF8" s="8">
        <f t="shared" ref="AF8:AF71" si="21">AE8/AE$5</f>
        <v>1.2263436784267172</v>
      </c>
      <c r="AG8" s="50">
        <f t="shared" ref="AG8:AG71" si="22">N8*AF8</f>
        <v>3.7158213456329536E-13</v>
      </c>
      <c r="AH8" s="49">
        <f t="shared" si="15"/>
        <v>3.5560942219265751E-13</v>
      </c>
      <c r="AI8" s="8">
        <f>AH8/N8</f>
        <v>1.1736284560813779</v>
      </c>
      <c r="AJ8" s="8">
        <f t="shared" ref="AJ8:AJ71" si="23">AI8/AI$5</f>
        <v>1.2861725195373379</v>
      </c>
      <c r="AK8" s="50">
        <f t="shared" ref="AK8:AK71" si="24">N8*AJ8</f>
        <v>3.8971027341981343E-13</v>
      </c>
      <c r="AM8" s="35">
        <f t="shared" ref="AM8:AM71" si="25">Y8/C8-1</f>
        <v>0.29471127025538446</v>
      </c>
      <c r="AN8" s="35">
        <f t="shared" ref="AN8:AN71" si="26">AC8/C8-1</f>
        <v>0.29471127025538535</v>
      </c>
      <c r="AO8" s="35">
        <f t="shared" ref="AO8:AO71" si="27">AG8/C8-1</f>
        <v>0.29471127025538446</v>
      </c>
    </row>
    <row r="9" spans="1:41" s="22" customFormat="1">
      <c r="A9" s="22">
        <f t="shared" si="4"/>
        <v>1938</v>
      </c>
      <c r="B9" s="23"/>
      <c r="C9" s="24">
        <v>2.6399999999999999E-13</v>
      </c>
      <c r="D9" s="25"/>
      <c r="E9" s="22">
        <v>0.22399999999999998</v>
      </c>
      <c r="F9" s="22">
        <v>0.16700000000000001</v>
      </c>
      <c r="G9" s="29" t="s">
        <v>32</v>
      </c>
      <c r="H9" s="33" t="str">
        <f t="shared" si="5"/>
        <v>41299</v>
      </c>
      <c r="I9" s="30">
        <f t="shared" si="6"/>
        <v>14.456823588549565</v>
      </c>
      <c r="J9" s="22">
        <v>5424000</v>
      </c>
      <c r="K9" s="30">
        <f t="shared" si="7"/>
        <v>43.470822034235113</v>
      </c>
      <c r="L9" s="30">
        <f t="shared" si="8"/>
        <v>33.256384195275174</v>
      </c>
      <c r="N9" s="22">
        <v>3.07E-13</v>
      </c>
      <c r="O9" s="22">
        <v>1.1968354430379745E-14</v>
      </c>
      <c r="P9" s="34">
        <f t="shared" si="16"/>
        <v>33.256384195275174</v>
      </c>
      <c r="Q9" s="14">
        <f t="shared" si="9"/>
        <v>33.766382400896973</v>
      </c>
      <c r="R9" s="14">
        <f t="shared" si="10"/>
        <v>31.91555127999224</v>
      </c>
      <c r="S9" s="22">
        <v>9.7579999999999986E-2</v>
      </c>
      <c r="T9" s="14">
        <f>T10*'Largo Plazo'!O9/'Largo Plazo'!O10</f>
        <v>17.93310900473934</v>
      </c>
      <c r="V9" s="49">
        <f t="shared" si="11"/>
        <v>3.0934815007500427E-13</v>
      </c>
      <c r="W9" s="8">
        <f t="shared" si="12"/>
        <v>1.0076486973127174</v>
      </c>
      <c r="X9" s="8">
        <f t="shared" si="17"/>
        <v>1.0996831426278628</v>
      </c>
      <c r="Y9" s="50">
        <f t="shared" si="18"/>
        <v>3.3760272478675391E-13</v>
      </c>
      <c r="Z9" s="57">
        <f t="shared" si="13"/>
        <v>3.0934815007500452E-13</v>
      </c>
      <c r="AA9" s="8">
        <f>Z9/N9</f>
        <v>1.0076486973127183</v>
      </c>
      <c r="AB9" s="8">
        <f t="shared" si="19"/>
        <v>1.0996831426278635</v>
      </c>
      <c r="AC9" s="50">
        <f t="shared" si="20"/>
        <v>3.3760272478675411E-13</v>
      </c>
      <c r="AD9" s="57">
        <f t="shared" si="14"/>
        <v>3.0934815007500427E-13</v>
      </c>
      <c r="AE9" s="8">
        <f>AD9/N9</f>
        <v>1.0076486973127174</v>
      </c>
      <c r="AF9" s="8">
        <f t="shared" si="21"/>
        <v>1.0996831426278626</v>
      </c>
      <c r="AG9" s="50">
        <f t="shared" si="22"/>
        <v>3.3760272478675381E-13</v>
      </c>
      <c r="AH9" s="49">
        <f t="shared" si="15"/>
        <v>3.6067358242016316E-13</v>
      </c>
      <c r="AI9" s="8">
        <f>AH9/N9</f>
        <v>1.17483251602659</v>
      </c>
      <c r="AJ9" s="8">
        <f t="shared" si="23"/>
        <v>1.2874920417467586</v>
      </c>
      <c r="AK9" s="50">
        <f t="shared" si="24"/>
        <v>3.9526005681625487E-13</v>
      </c>
      <c r="AM9" s="35">
        <f t="shared" si="25"/>
        <v>0.27879819994982546</v>
      </c>
      <c r="AN9" s="35">
        <f t="shared" si="26"/>
        <v>0.27879819994982635</v>
      </c>
      <c r="AO9" s="35">
        <f t="shared" si="27"/>
        <v>0.27879819994982502</v>
      </c>
    </row>
    <row r="10" spans="1:41" s="22" customFormat="1">
      <c r="A10" s="22">
        <f t="shared" si="4"/>
        <v>1939</v>
      </c>
      <c r="B10" s="23"/>
      <c r="C10" s="24">
        <v>2.8999999999999998E-13</v>
      </c>
      <c r="D10" s="25"/>
      <c r="E10" s="22">
        <v>0.22600000000000001</v>
      </c>
      <c r="F10" s="22">
        <v>0.17899999999999999</v>
      </c>
      <c r="G10" s="29" t="s">
        <v>33</v>
      </c>
      <c r="H10" s="33" t="str">
        <f t="shared" si="5"/>
        <v>42879</v>
      </c>
      <c r="I10" s="30">
        <f t="shared" si="6"/>
        <v>15.0099067447981</v>
      </c>
      <c r="J10" s="22">
        <v>5640000</v>
      </c>
      <c r="K10" s="30">
        <f t="shared" si="7"/>
        <v>45.201960964801998</v>
      </c>
      <c r="L10" s="30">
        <f t="shared" si="8"/>
        <v>33.206317656187665</v>
      </c>
      <c r="N10" s="22">
        <v>3.2700000000000002E-13</v>
      </c>
      <c r="O10" s="22">
        <v>1.2158227848101266E-14</v>
      </c>
      <c r="P10" s="34">
        <f t="shared" si="16"/>
        <v>33.206317656187665</v>
      </c>
      <c r="Q10" s="14">
        <f t="shared" si="9"/>
        <v>33.71554807403836</v>
      </c>
      <c r="R10" s="14">
        <f t="shared" si="10"/>
        <v>31.867503326664647</v>
      </c>
      <c r="S10" s="22">
        <v>9.6189999999999998E-2</v>
      </c>
      <c r="T10" s="14">
        <f>T11*'Largo Plazo'!O10/'Largo Plazo'!O11</f>
        <v>19.221715639810427</v>
      </c>
      <c r="V10" s="49">
        <f t="shared" si="11"/>
        <v>3.4221978866188256E-13</v>
      </c>
      <c r="W10" s="8">
        <f t="shared" si="12"/>
        <v>1.046543696213708</v>
      </c>
      <c r="X10" s="8">
        <f t="shared" si="17"/>
        <v>1.1421306491229508</v>
      </c>
      <c r="Y10" s="50">
        <f t="shared" si="18"/>
        <v>3.7347672226320496E-13</v>
      </c>
      <c r="Z10" s="57">
        <f t="shared" si="13"/>
        <v>3.4221978866188282E-13</v>
      </c>
      <c r="AA10" s="8">
        <f>Z10/N10</f>
        <v>1.0465436962137089</v>
      </c>
      <c r="AB10" s="8">
        <f t="shared" si="19"/>
        <v>1.1421306491229517</v>
      </c>
      <c r="AC10" s="50">
        <f t="shared" si="20"/>
        <v>3.7347672226320521E-13</v>
      </c>
      <c r="AD10" s="57">
        <f t="shared" si="14"/>
        <v>3.4221978866188246E-13</v>
      </c>
      <c r="AE10" s="8">
        <f>AD10/N10</f>
        <v>1.0465436962137078</v>
      </c>
      <c r="AF10" s="8">
        <f t="shared" si="21"/>
        <v>1.1421306491229504</v>
      </c>
      <c r="AG10" s="50">
        <f t="shared" si="22"/>
        <v>3.734767222632048E-13</v>
      </c>
      <c r="AH10" s="49">
        <f t="shared" si="15"/>
        <v>3.7169015547069332E-13</v>
      </c>
      <c r="AI10" s="8">
        <f>AH10/N10</f>
        <v>1.1366671421122119</v>
      </c>
      <c r="AJ10" s="8">
        <f t="shared" si="23"/>
        <v>1.2456668330342522</v>
      </c>
      <c r="AK10" s="50">
        <f t="shared" si="24"/>
        <v>4.0733305440220048E-13</v>
      </c>
      <c r="AM10" s="35">
        <f t="shared" si="25"/>
        <v>0.28785076642484486</v>
      </c>
      <c r="AN10" s="35">
        <f t="shared" si="26"/>
        <v>0.28785076642484575</v>
      </c>
      <c r="AO10" s="35">
        <f t="shared" si="27"/>
        <v>0.2878507664248442</v>
      </c>
    </row>
    <row r="11" spans="1:41" s="22" customFormat="1">
      <c r="A11" s="22">
        <f t="shared" si="4"/>
        <v>1940</v>
      </c>
      <c r="B11" s="23"/>
      <c r="C11" s="24">
        <v>3.3299999999999999E-13</v>
      </c>
      <c r="D11" s="25"/>
      <c r="E11" s="22">
        <v>0.22</v>
      </c>
      <c r="F11" s="22">
        <v>0.19700000000000001</v>
      </c>
      <c r="G11" s="29" t="s">
        <v>34</v>
      </c>
      <c r="H11" s="33" t="str">
        <f t="shared" si="5"/>
        <v>43575</v>
      </c>
      <c r="I11" s="30">
        <f t="shared" si="6"/>
        <v>15.253543375651885</v>
      </c>
      <c r="J11" s="22">
        <v>5635000</v>
      </c>
      <c r="K11" s="30">
        <f t="shared" si="7"/>
        <v>45.161888304372212</v>
      </c>
      <c r="L11" s="30">
        <f t="shared" si="8"/>
        <v>33.775255969921787</v>
      </c>
      <c r="N11" s="22">
        <v>3.3599999999999998E-13</v>
      </c>
      <c r="O11" s="22">
        <v>1.2430379746835443E-14</v>
      </c>
      <c r="P11" s="34">
        <f t="shared" si="16"/>
        <v>33.775255969921787</v>
      </c>
      <c r="Q11" s="14">
        <f t="shared" si="9"/>
        <v>34.293211254475075</v>
      </c>
      <c r="R11" s="14">
        <f t="shared" si="10"/>
        <v>32.413503150954426</v>
      </c>
      <c r="S11" s="22">
        <v>9.6890000000000004E-2</v>
      </c>
      <c r="T11" s="14">
        <f>T12*'Largo Plazo'!O11/'Largo Plazo'!O12</f>
        <v>21.154625592417062</v>
      </c>
      <c r="V11" s="49">
        <f t="shared" si="11"/>
        <v>3.7584213839438597E-13</v>
      </c>
      <c r="W11" s="8">
        <f t="shared" si="12"/>
        <v>1.1185777928404346</v>
      </c>
      <c r="X11" s="8">
        <f t="shared" si="17"/>
        <v>1.2207440408398202</v>
      </c>
      <c r="Y11" s="50">
        <f t="shared" si="18"/>
        <v>4.1016999772217957E-13</v>
      </c>
      <c r="Z11" s="57">
        <f t="shared" si="13"/>
        <v>3.7584213839438617E-13</v>
      </c>
      <c r="AA11" s="8">
        <f>Z11/N11</f>
        <v>1.118577792840435</v>
      </c>
      <c r="AB11" s="8">
        <f t="shared" si="19"/>
        <v>1.2207440408398205</v>
      </c>
      <c r="AC11" s="50">
        <f t="shared" si="20"/>
        <v>4.1016999772217967E-13</v>
      </c>
      <c r="AD11" s="57">
        <f t="shared" si="14"/>
        <v>3.7584213839438587E-13</v>
      </c>
      <c r="AE11" s="8">
        <f>AD11/N11</f>
        <v>1.1185777928404341</v>
      </c>
      <c r="AF11" s="8">
        <f t="shared" si="21"/>
        <v>1.2207440408398196</v>
      </c>
      <c r="AG11" s="50">
        <f t="shared" si="22"/>
        <v>4.1016999772217937E-13</v>
      </c>
      <c r="AH11" s="49">
        <f t="shared" si="15"/>
        <v>3.7726467835515803E-13</v>
      </c>
      <c r="AI11" s="8">
        <f>AH11/N11</f>
        <v>1.1228115427236847</v>
      </c>
      <c r="AJ11" s="8">
        <f t="shared" si="23"/>
        <v>1.2304825631889695</v>
      </c>
      <c r="AK11" s="50">
        <f t="shared" si="24"/>
        <v>4.1344214123149376E-13</v>
      </c>
      <c r="AM11" s="35">
        <f t="shared" si="25"/>
        <v>0.23174173490144012</v>
      </c>
      <c r="AN11" s="35">
        <f t="shared" si="26"/>
        <v>0.23174173490144057</v>
      </c>
      <c r="AO11" s="35">
        <f t="shared" si="27"/>
        <v>0.23174173490143946</v>
      </c>
    </row>
    <row r="12" spans="1:41" s="22" customFormat="1">
      <c r="A12" s="22">
        <f t="shared" si="4"/>
        <v>1941</v>
      </c>
      <c r="B12" s="23"/>
      <c r="C12" s="24">
        <v>3.5799999999999999E-13</v>
      </c>
      <c r="D12" s="25"/>
      <c r="E12" s="22">
        <v>0.20600000000000002</v>
      </c>
      <c r="F12" s="22">
        <v>0.20399999999999999</v>
      </c>
      <c r="G12" s="29" t="s">
        <v>35</v>
      </c>
      <c r="H12" s="33" t="str">
        <f t="shared" si="5"/>
        <v>45852</v>
      </c>
      <c r="I12" s="30">
        <f t="shared" si="6"/>
        <v>16.050613215384743</v>
      </c>
      <c r="J12" s="22">
        <v>5783000</v>
      </c>
      <c r="K12" s="30">
        <f t="shared" si="7"/>
        <v>46.348039053093963</v>
      </c>
      <c r="L12" s="30">
        <f t="shared" si="8"/>
        <v>34.630619856425803</v>
      </c>
      <c r="N12" s="22">
        <v>3.3599999999999998E-13</v>
      </c>
      <c r="O12" s="22">
        <v>1.2759493670886076E-14</v>
      </c>
      <c r="P12" s="34">
        <f t="shared" si="16"/>
        <v>34.630619856425803</v>
      </c>
      <c r="Q12" s="14">
        <f t="shared" si="9"/>
        <v>35.161692443350553</v>
      </c>
      <c r="R12" s="14">
        <f t="shared" si="10"/>
        <v>33.234380424396882</v>
      </c>
      <c r="S12" s="22">
        <v>0.1017</v>
      </c>
      <c r="T12" s="14">
        <f>T13*'Largo Plazo'!O12/'Largo Plazo'!O13</f>
        <v>21.906312796208525</v>
      </c>
      <c r="V12" s="49">
        <f t="shared" si="11"/>
        <v>3.7120587658266433E-13</v>
      </c>
      <c r="W12" s="8">
        <f t="shared" si="12"/>
        <v>1.104779394591263</v>
      </c>
      <c r="X12" s="8">
        <f t="shared" si="17"/>
        <v>1.2056853542257782</v>
      </c>
      <c r="Y12" s="50">
        <f t="shared" si="18"/>
        <v>4.0511027901986143E-13</v>
      </c>
      <c r="Z12" s="57">
        <f t="shared" si="13"/>
        <v>3.7120587658266453E-13</v>
      </c>
      <c r="AA12" s="8">
        <f>Z12/N12</f>
        <v>1.1047793945912636</v>
      </c>
      <c r="AB12" s="8">
        <f t="shared" si="19"/>
        <v>1.2056853542257788</v>
      </c>
      <c r="AC12" s="50">
        <f t="shared" si="20"/>
        <v>4.0511027901986168E-13</v>
      </c>
      <c r="AD12" s="57">
        <f t="shared" si="14"/>
        <v>3.7120587658266433E-13</v>
      </c>
      <c r="AE12" s="8">
        <f>AD12/N12</f>
        <v>1.104779394591263</v>
      </c>
      <c r="AF12" s="8">
        <f t="shared" si="21"/>
        <v>1.2056853542257779</v>
      </c>
      <c r="AG12" s="50">
        <f t="shared" si="22"/>
        <v>4.0511027901986138E-13</v>
      </c>
      <c r="AH12" s="49">
        <f t="shared" si="15"/>
        <v>3.68937833643918E-13</v>
      </c>
      <c r="AI12" s="8">
        <f>AH12/N12</f>
        <v>1.098029266797375</v>
      </c>
      <c r="AJ12" s="8">
        <f t="shared" si="23"/>
        <v>1.203323812817122</v>
      </c>
      <c r="AK12" s="50">
        <f t="shared" si="24"/>
        <v>4.0431680110655295E-13</v>
      </c>
      <c r="AM12" s="35">
        <f t="shared" si="25"/>
        <v>0.13159295815603755</v>
      </c>
      <c r="AN12" s="35">
        <f t="shared" si="26"/>
        <v>0.13159295815603822</v>
      </c>
      <c r="AO12" s="35">
        <f t="shared" si="27"/>
        <v>0.13159295815603733</v>
      </c>
    </row>
    <row r="13" spans="1:41" s="22" customFormat="1">
      <c r="A13" s="22">
        <f t="shared" si="4"/>
        <v>1942</v>
      </c>
      <c r="B13" s="23"/>
      <c r="C13" s="24">
        <v>3.56E-13</v>
      </c>
      <c r="D13" s="25"/>
      <c r="E13" s="22">
        <v>0.19600000000000001</v>
      </c>
      <c r="F13" s="22">
        <v>0.20200000000000001</v>
      </c>
      <c r="G13" s="29" t="s">
        <v>36</v>
      </c>
      <c r="H13" s="33" t="str">
        <f t="shared" si="5"/>
        <v>46358</v>
      </c>
      <c r="I13" s="30">
        <f t="shared" si="6"/>
        <v>16.227739846436489</v>
      </c>
      <c r="J13" s="22">
        <v>5654000</v>
      </c>
      <c r="K13" s="30">
        <f t="shared" si="7"/>
        <v>45.314164414005411</v>
      </c>
      <c r="L13" s="30">
        <f t="shared" si="8"/>
        <v>35.811627680418887</v>
      </c>
      <c r="N13" s="22">
        <v>3.3599999999999998E-13</v>
      </c>
      <c r="O13" s="22">
        <v>1.3487341772151897E-14</v>
      </c>
      <c r="P13" s="34">
        <f t="shared" si="16"/>
        <v>35.811627680418887</v>
      </c>
      <c r="Q13" s="14">
        <f t="shared" si="9"/>
        <v>36.360811432632239</v>
      </c>
      <c r="R13" s="14">
        <f t="shared" si="10"/>
        <v>34.367772303303504</v>
      </c>
      <c r="S13" s="22">
        <v>0.1128</v>
      </c>
      <c r="T13" s="14">
        <f>T14*'Largo Plazo'!O13/'Largo Plazo'!O14</f>
        <v>21.69154502369668</v>
      </c>
      <c r="V13" s="49">
        <f t="shared" si="11"/>
        <v>3.3874822217839745E-13</v>
      </c>
      <c r="W13" s="8">
        <f t="shared" si="12"/>
        <v>1.0081792326738019</v>
      </c>
      <c r="X13" s="8">
        <f t="shared" si="17"/>
        <v>1.1002621348844979</v>
      </c>
      <c r="Y13" s="50">
        <f t="shared" si="18"/>
        <v>3.6968807732119124E-13</v>
      </c>
      <c r="Z13" s="57">
        <f t="shared" si="13"/>
        <v>3.3874822217839755E-13</v>
      </c>
      <c r="AA13" s="8">
        <f>Z13/N13</f>
        <v>1.0081792326738024</v>
      </c>
      <c r="AB13" s="8">
        <f t="shared" si="19"/>
        <v>1.1002621348844983</v>
      </c>
      <c r="AC13" s="50">
        <f t="shared" si="20"/>
        <v>3.6968807732119139E-13</v>
      </c>
      <c r="AD13" s="57">
        <f t="shared" si="14"/>
        <v>3.3874822217839735E-13</v>
      </c>
      <c r="AE13" s="8">
        <f>AD13/N13</f>
        <v>1.0081792326738017</v>
      </c>
      <c r="AF13" s="8">
        <f t="shared" si="21"/>
        <v>1.1002621348844976</v>
      </c>
      <c r="AG13" s="50">
        <f t="shared" si="22"/>
        <v>3.6968807732119119E-13</v>
      </c>
      <c r="AH13" s="49">
        <f t="shared" si="15"/>
        <v>3.516073690593195E-13</v>
      </c>
      <c r="AI13" s="8">
        <f>AH13/N13</f>
        <v>1.0464505031527367</v>
      </c>
      <c r="AJ13" s="8">
        <f t="shared" si="23"/>
        <v>1.1467989492219217</v>
      </c>
      <c r="AK13" s="50">
        <f t="shared" si="24"/>
        <v>3.8532444693856569E-13</v>
      </c>
      <c r="AM13" s="35">
        <f t="shared" si="25"/>
        <v>3.8449655396604721E-2</v>
      </c>
      <c r="AN13" s="35">
        <f t="shared" si="26"/>
        <v>3.8449655396604943E-2</v>
      </c>
      <c r="AO13" s="35">
        <f t="shared" si="27"/>
        <v>3.8449655396604498E-2</v>
      </c>
    </row>
    <row r="14" spans="1:41" s="22" customFormat="1">
      <c r="A14" s="22">
        <f t="shared" si="4"/>
        <v>1943</v>
      </c>
      <c r="B14" s="23"/>
      <c r="C14" s="24">
        <v>3.9E-13</v>
      </c>
      <c r="D14" s="25"/>
      <c r="E14" s="22">
        <v>0.182</v>
      </c>
      <c r="F14" s="22">
        <v>0.215</v>
      </c>
      <c r="G14" s="29" t="s">
        <v>37</v>
      </c>
      <c r="H14" s="33" t="str">
        <f t="shared" si="5"/>
        <v>46042</v>
      </c>
      <c r="I14" s="30">
        <f t="shared" si="6"/>
        <v>16.117123215186783</v>
      </c>
      <c r="J14" s="22">
        <v>5362000</v>
      </c>
      <c r="K14" s="30">
        <f t="shared" si="7"/>
        <v>42.97392104490573</v>
      </c>
      <c r="L14" s="30">
        <f t="shared" si="8"/>
        <v>37.504427856013294</v>
      </c>
      <c r="N14" s="22">
        <v>3.3599999999999998E-13</v>
      </c>
      <c r="O14" s="22">
        <v>1.3632911392405062E-14</v>
      </c>
      <c r="P14" s="34">
        <f t="shared" si="16"/>
        <v>37.504427856013294</v>
      </c>
      <c r="Q14" s="14">
        <f t="shared" si="9"/>
        <v>38.079571287034781</v>
      </c>
      <c r="R14" s="14">
        <f t="shared" si="10"/>
        <v>35.992322058734786</v>
      </c>
      <c r="S14" s="22">
        <v>0.1197</v>
      </c>
      <c r="T14" s="14">
        <f>T15*'Largo Plazo'!O14/'Largo Plazo'!O15</f>
        <v>23.087535545023691</v>
      </c>
      <c r="V14" s="49">
        <f t="shared" si="11"/>
        <v>3.2793126906426767E-13</v>
      </c>
      <c r="W14" s="8">
        <f t="shared" si="12"/>
        <v>0.97598591983412997</v>
      </c>
      <c r="X14" s="8">
        <f t="shared" si="17"/>
        <v>1.0651284186106154</v>
      </c>
      <c r="Y14" s="50">
        <f t="shared" si="18"/>
        <v>3.5788314865316673E-13</v>
      </c>
      <c r="Z14" s="57">
        <f t="shared" si="13"/>
        <v>3.2793126906426787E-13</v>
      </c>
      <c r="AA14" s="8">
        <f>Z14/N14</f>
        <v>0.97598591983413063</v>
      </c>
      <c r="AB14" s="8">
        <f t="shared" si="19"/>
        <v>1.065128418610616</v>
      </c>
      <c r="AC14" s="50">
        <f t="shared" si="20"/>
        <v>3.5788314865316698E-13</v>
      </c>
      <c r="AD14" s="57">
        <f t="shared" si="14"/>
        <v>3.2793126906426767E-13</v>
      </c>
      <c r="AE14" s="8">
        <f>AD14/N14</f>
        <v>0.97598591983412997</v>
      </c>
      <c r="AF14" s="8">
        <f t="shared" si="21"/>
        <v>1.0651284186106151</v>
      </c>
      <c r="AG14" s="50">
        <f t="shared" si="22"/>
        <v>3.5788314865316668E-13</v>
      </c>
      <c r="AH14" s="49">
        <f t="shared" si="15"/>
        <v>3.3491543809149704E-13</v>
      </c>
      <c r="AI14" s="8">
        <f>AH14/N14</f>
        <v>0.99677213717707458</v>
      </c>
      <c r="AJ14" s="8">
        <f t="shared" si="23"/>
        <v>1.0923567202504516</v>
      </c>
      <c r="AK14" s="50">
        <f t="shared" si="24"/>
        <v>3.6703185800415171E-13</v>
      </c>
      <c r="AM14" s="35">
        <f t="shared" si="25"/>
        <v>-8.235090088931607E-2</v>
      </c>
      <c r="AN14" s="35">
        <f t="shared" si="26"/>
        <v>-8.2350900889315404E-2</v>
      </c>
      <c r="AO14" s="35">
        <f t="shared" si="27"/>
        <v>-8.2350900889316181E-2</v>
      </c>
    </row>
    <row r="15" spans="1:41" s="22" customFormat="1">
      <c r="A15" s="22">
        <f t="shared" si="4"/>
        <v>1944</v>
      </c>
      <c r="B15" s="23"/>
      <c r="C15" s="24">
        <v>4.1000000000000002E-13</v>
      </c>
      <c r="D15" s="25"/>
      <c r="E15" s="22">
        <v>0.188</v>
      </c>
      <c r="F15" s="22">
        <v>0.23899999999999999</v>
      </c>
      <c r="G15" s="29" t="s">
        <v>38</v>
      </c>
      <c r="H15" s="33" t="str">
        <f t="shared" si="5"/>
        <v>51228</v>
      </c>
      <c r="I15" s="30">
        <f t="shared" si="6"/>
        <v>17.932496157151917</v>
      </c>
      <c r="J15" s="22">
        <v>5857000</v>
      </c>
      <c r="K15" s="30">
        <f t="shared" si="7"/>
        <v>46.941114427454842</v>
      </c>
      <c r="L15" s="30">
        <f t="shared" si="8"/>
        <v>38.202109975181138</v>
      </c>
      <c r="N15" s="22">
        <v>3.3599999999999998E-13</v>
      </c>
      <c r="O15" s="22">
        <v>1.3594936708860758E-14</v>
      </c>
      <c r="P15" s="34">
        <f t="shared" si="16"/>
        <v>38.202109975181138</v>
      </c>
      <c r="Q15" s="14">
        <f t="shared" si="9"/>
        <v>38.787952603889927</v>
      </c>
      <c r="R15" s="14">
        <f t="shared" si="10"/>
        <v>36.661874987901342</v>
      </c>
      <c r="S15" s="22">
        <v>0.12179999999999999</v>
      </c>
      <c r="T15" s="14">
        <f>T16*'Largo Plazo'!O15/'Largo Plazo'!O16</f>
        <v>25.664748815165872</v>
      </c>
      <c r="V15" s="49">
        <f t="shared" si="11"/>
        <v>3.5072999169996105E-13</v>
      </c>
      <c r="W15" s="8">
        <f t="shared" si="12"/>
        <v>1.0438392610117888</v>
      </c>
      <c r="X15" s="8">
        <f t="shared" si="17"/>
        <v>1.139179202046394</v>
      </c>
      <c r="Y15" s="50">
        <f t="shared" si="18"/>
        <v>3.8276421188758836E-13</v>
      </c>
      <c r="Z15" s="57">
        <f t="shared" si="13"/>
        <v>3.507299916999613E-13</v>
      </c>
      <c r="AA15" s="8">
        <f>Z15/N15</f>
        <v>1.0438392610117897</v>
      </c>
      <c r="AB15" s="8">
        <f t="shared" si="19"/>
        <v>1.1391792020463947</v>
      </c>
      <c r="AC15" s="50">
        <f t="shared" si="20"/>
        <v>3.8276421188758861E-13</v>
      </c>
      <c r="AD15" s="57">
        <f t="shared" si="14"/>
        <v>3.5072999169996105E-13</v>
      </c>
      <c r="AE15" s="8">
        <f>AD15/N15</f>
        <v>1.0438392610117888</v>
      </c>
      <c r="AF15" s="8">
        <f t="shared" si="21"/>
        <v>1.1391792020463938</v>
      </c>
      <c r="AG15" s="50">
        <f t="shared" si="22"/>
        <v>3.8276421188758831E-13</v>
      </c>
      <c r="AH15" s="49">
        <f t="shared" si="15"/>
        <v>3.2822420659375135E-13</v>
      </c>
      <c r="AI15" s="8">
        <f>AH15/N15</f>
        <v>0.97685775771949812</v>
      </c>
      <c r="AJ15" s="8">
        <f t="shared" si="23"/>
        <v>1.0705326689765979</v>
      </c>
      <c r="AK15" s="50">
        <f t="shared" si="24"/>
        <v>3.596989767761369E-13</v>
      </c>
      <c r="AM15" s="35">
        <f t="shared" si="25"/>
        <v>-6.6428751493686988E-2</v>
      </c>
      <c r="AN15" s="35">
        <f t="shared" si="26"/>
        <v>-6.6428751493686322E-2</v>
      </c>
      <c r="AO15" s="35">
        <f t="shared" si="27"/>
        <v>-6.6428751493687099E-2</v>
      </c>
    </row>
    <row r="16" spans="1:41" s="22" customFormat="1">
      <c r="A16" s="22">
        <f t="shared" si="4"/>
        <v>1945</v>
      </c>
      <c r="B16" s="23"/>
      <c r="C16" s="24">
        <v>4.7699999999999999E-13</v>
      </c>
      <c r="D16" s="25"/>
      <c r="E16" s="22">
        <v>0.17899999999999999</v>
      </c>
      <c r="F16" s="22">
        <v>0.22700000000000001</v>
      </c>
      <c r="G16" s="29" t="s">
        <v>39</v>
      </c>
      <c r="H16" s="33" t="str">
        <f t="shared" si="5"/>
        <v>49583</v>
      </c>
      <c r="I16" s="30">
        <f t="shared" si="6"/>
        <v>17.356659579918471</v>
      </c>
      <c r="J16" s="22">
        <v>5373000</v>
      </c>
      <c r="K16" s="30">
        <f t="shared" si="7"/>
        <v>43.062080897851267</v>
      </c>
      <c r="L16" s="30">
        <f t="shared" si="8"/>
        <v>40.306132955094938</v>
      </c>
      <c r="N16" s="22">
        <v>3.3599999999999998E-13</v>
      </c>
      <c r="O16" s="22">
        <v>1.6278481012658226E-14</v>
      </c>
      <c r="P16" s="34">
        <f t="shared" si="16"/>
        <v>40.306132955094938</v>
      </c>
      <c r="Q16" s="14">
        <f t="shared" si="9"/>
        <v>40.924241507183801</v>
      </c>
      <c r="R16" s="14">
        <f t="shared" si="10"/>
        <v>38.681067841683124</v>
      </c>
      <c r="S16" s="22">
        <v>0.1246</v>
      </c>
      <c r="T16" s="14">
        <f>T17*'Largo Plazo'!O16/'Largo Plazo'!O17</f>
        <v>24.376142180094785</v>
      </c>
      <c r="V16" s="49">
        <f t="shared" si="11"/>
        <v>3.6955834347956222E-13</v>
      </c>
      <c r="W16" s="8">
        <f t="shared" si="12"/>
        <v>1.0998760222606019</v>
      </c>
      <c r="X16" s="8">
        <f t="shared" si="17"/>
        <v>1.200334128239543</v>
      </c>
      <c r="Y16" s="50">
        <f t="shared" si="18"/>
        <v>4.0331226708848644E-13</v>
      </c>
      <c r="Z16" s="57">
        <f t="shared" si="13"/>
        <v>3.6955834347956242E-13</v>
      </c>
      <c r="AA16" s="8">
        <f>Z16/N16</f>
        <v>1.0998760222606025</v>
      </c>
      <c r="AB16" s="8">
        <f t="shared" si="19"/>
        <v>1.2003341282395434</v>
      </c>
      <c r="AC16" s="50">
        <f t="shared" si="20"/>
        <v>4.0331226708848659E-13</v>
      </c>
      <c r="AD16" s="57">
        <f t="shared" si="14"/>
        <v>3.6955834347956222E-13</v>
      </c>
      <c r="AE16" s="8">
        <f>AD16/N16</f>
        <v>1.0998760222606019</v>
      </c>
      <c r="AF16" s="8">
        <f t="shared" si="21"/>
        <v>1.2003341282395428</v>
      </c>
      <c r="AG16" s="50">
        <f t="shared" si="22"/>
        <v>4.0331226708848634E-13</v>
      </c>
      <c r="AH16" s="49">
        <f t="shared" si="15"/>
        <v>3.8418158184380641E-13</v>
      </c>
      <c r="AI16" s="8">
        <f>AH16/N16</f>
        <v>1.1433975650113286</v>
      </c>
      <c r="AJ16" s="8">
        <f t="shared" si="23"/>
        <v>1.2530426638884322</v>
      </c>
      <c r="AK16" s="50">
        <f t="shared" si="24"/>
        <v>4.2102233506651319E-13</v>
      </c>
      <c r="AM16" s="35">
        <f t="shared" si="25"/>
        <v>-0.15448162035956714</v>
      </c>
      <c r="AN16" s="35">
        <f t="shared" si="26"/>
        <v>-0.15448162035956692</v>
      </c>
      <c r="AO16" s="35">
        <f t="shared" si="27"/>
        <v>-0.15448162035956736</v>
      </c>
    </row>
    <row r="17" spans="1:41" s="22" customFormat="1">
      <c r="A17" s="22">
        <f t="shared" si="4"/>
        <v>1946</v>
      </c>
      <c r="B17" s="23"/>
      <c r="C17" s="24">
        <v>4.3600000000000001E-13</v>
      </c>
      <c r="D17" s="25"/>
      <c r="E17" s="22">
        <v>0.188</v>
      </c>
      <c r="F17" s="22">
        <v>0.2</v>
      </c>
      <c r="G17" s="29" t="s">
        <v>40</v>
      </c>
      <c r="H17" s="33" t="str">
        <f t="shared" si="5"/>
        <v>54011</v>
      </c>
      <c r="I17" s="30">
        <f t="shared" si="6"/>
        <v>18.906692627936522</v>
      </c>
      <c r="J17" s="22">
        <v>5662000</v>
      </c>
      <c r="K17" s="30">
        <f t="shared" si="7"/>
        <v>45.378280670693073</v>
      </c>
      <c r="L17" s="30">
        <f t="shared" si="8"/>
        <v>41.664629749066592</v>
      </c>
      <c r="N17" s="22">
        <v>3.3599999999999998E-13</v>
      </c>
      <c r="O17" s="22">
        <v>1.9151898734177211E-14</v>
      </c>
      <c r="P17" s="34">
        <f t="shared" si="16"/>
        <v>41.664629749066592</v>
      </c>
      <c r="Q17" s="14">
        <f t="shared" si="9"/>
        <v>42.303571321462179</v>
      </c>
      <c r="R17" s="14">
        <f t="shared" si="10"/>
        <v>39.98479267951042</v>
      </c>
      <c r="S17" s="22">
        <v>0.13489999999999999</v>
      </c>
      <c r="T17" s="14">
        <f>T18*'Largo Plazo'!O17/'Largo Plazo'!O18</f>
        <v>21.476777251184835</v>
      </c>
      <c r="V17" s="49">
        <f t="shared" si="11"/>
        <v>3.422904706740247E-13</v>
      </c>
      <c r="W17" s="8">
        <f t="shared" si="12"/>
        <v>1.0187216389107878</v>
      </c>
      <c r="X17" s="8">
        <f t="shared" si="17"/>
        <v>1.1117674407043399</v>
      </c>
      <c r="Y17" s="50">
        <f t="shared" si="18"/>
        <v>3.7355386007665819E-13</v>
      </c>
      <c r="Z17" s="57">
        <f t="shared" si="13"/>
        <v>3.422904706740249E-13</v>
      </c>
      <c r="AA17" s="8">
        <f>Z17/N17</f>
        <v>1.0187216389107885</v>
      </c>
      <c r="AB17" s="8">
        <f t="shared" si="19"/>
        <v>1.1117674407043405</v>
      </c>
      <c r="AC17" s="50">
        <f t="shared" si="20"/>
        <v>3.7355386007665839E-13</v>
      </c>
      <c r="AD17" s="57">
        <f t="shared" si="14"/>
        <v>3.422904706740247E-13</v>
      </c>
      <c r="AE17" s="8">
        <f>AD17/N17</f>
        <v>1.0187216389107878</v>
      </c>
      <c r="AF17" s="8">
        <f t="shared" si="21"/>
        <v>1.1117674407043399</v>
      </c>
      <c r="AG17" s="50">
        <f t="shared" si="22"/>
        <v>3.7355386007665819E-13</v>
      </c>
      <c r="AH17" s="49">
        <f t="shared" si="15"/>
        <v>4.1748472731300304E-13</v>
      </c>
      <c r="AI17" s="8">
        <f>AH17/N17</f>
        <v>1.2425140693839376</v>
      </c>
      <c r="AJ17" s="8">
        <f t="shared" si="23"/>
        <v>1.3616638578413274</v>
      </c>
      <c r="AK17" s="50">
        <f t="shared" si="24"/>
        <v>4.5751905623468596E-13</v>
      </c>
      <c r="AM17" s="35">
        <f t="shared" si="25"/>
        <v>-0.14322509156729779</v>
      </c>
      <c r="AN17" s="35">
        <f t="shared" si="26"/>
        <v>-0.14322509156729724</v>
      </c>
      <c r="AO17" s="35">
        <f t="shared" si="27"/>
        <v>-0.14322509156729779</v>
      </c>
    </row>
    <row r="18" spans="1:41" s="22" customFormat="1">
      <c r="A18" s="22">
        <f t="shared" si="4"/>
        <v>1947</v>
      </c>
      <c r="B18" s="23"/>
      <c r="C18" s="24">
        <v>4.1899999999999998E-13</v>
      </c>
      <c r="D18" s="25"/>
      <c r="E18" s="22">
        <v>0.20499999999999999</v>
      </c>
      <c r="F18" s="22">
        <v>0.21099999999999999</v>
      </c>
      <c r="G18" s="29" t="s">
        <v>41</v>
      </c>
      <c r="H18" s="33" t="str">
        <f t="shared" si="5"/>
        <v>60999</v>
      </c>
      <c r="I18" s="30">
        <f t="shared" si="6"/>
        <v>21.352860410129416</v>
      </c>
      <c r="J18" s="22">
        <v>6267000</v>
      </c>
      <c r="K18" s="30">
        <f t="shared" si="7"/>
        <v>50.227072582697538</v>
      </c>
      <c r="L18" s="30">
        <f t="shared" si="8"/>
        <v>42.512651668027239</v>
      </c>
      <c r="N18" s="22">
        <v>3.3599999999999998E-13</v>
      </c>
      <c r="O18" s="22">
        <v>2.1746835443037973E-14</v>
      </c>
      <c r="P18" s="34">
        <f t="shared" si="16"/>
        <v>42.512651668027239</v>
      </c>
      <c r="Q18" s="14">
        <f t="shared" si="9"/>
        <v>43.164597951171245</v>
      </c>
      <c r="R18" s="14">
        <f t="shared" si="10"/>
        <v>40.798623999302279</v>
      </c>
      <c r="S18" s="22">
        <v>0.15429999999999999</v>
      </c>
      <c r="T18" s="16">
        <v>22.658000000000001</v>
      </c>
      <c r="V18" s="49">
        <f t="shared" si="11"/>
        <v>3.5133940042671337E-13</v>
      </c>
      <c r="W18" s="8">
        <f t="shared" si="12"/>
        <v>1.0456529774604566</v>
      </c>
      <c r="X18" s="8">
        <f t="shared" si="17"/>
        <v>1.1411585758196405</v>
      </c>
      <c r="Y18" s="50">
        <f t="shared" si="18"/>
        <v>3.834292814753992E-13</v>
      </c>
      <c r="Z18" s="57">
        <f t="shared" si="13"/>
        <v>3.5133940042671357E-13</v>
      </c>
      <c r="AA18" s="8">
        <f>Z18/N18</f>
        <v>1.045652977460457</v>
      </c>
      <c r="AB18" s="8">
        <f t="shared" si="19"/>
        <v>1.1411585758196408</v>
      </c>
      <c r="AC18" s="50">
        <f t="shared" si="20"/>
        <v>3.834292814753993E-13</v>
      </c>
      <c r="AD18" s="57">
        <f t="shared" si="14"/>
        <v>3.5133940042671337E-13</v>
      </c>
      <c r="AE18" s="8">
        <f>AD18/N18</f>
        <v>1.0456529774604566</v>
      </c>
      <c r="AF18" s="8">
        <f t="shared" si="21"/>
        <v>1.1411585758196403</v>
      </c>
      <c r="AG18" s="50">
        <f t="shared" si="22"/>
        <v>3.8342928147539915E-13</v>
      </c>
      <c r="AH18" s="49">
        <f t="shared" si="15"/>
        <v>4.1444876282652284E-13</v>
      </c>
      <c r="AI18" s="8">
        <f>AH18/N18</f>
        <v>1.2334784607932228</v>
      </c>
      <c r="AJ18" s="8">
        <f t="shared" si="23"/>
        <v>1.3517617875511476</v>
      </c>
      <c r="AK18" s="50">
        <f t="shared" si="24"/>
        <v>4.5419196061718559E-13</v>
      </c>
      <c r="AM18" s="35">
        <f t="shared" si="25"/>
        <v>-8.4894316287830063E-2</v>
      </c>
      <c r="AN18" s="35">
        <f t="shared" si="26"/>
        <v>-8.4894316287829841E-2</v>
      </c>
      <c r="AO18" s="35">
        <f t="shared" si="27"/>
        <v>-8.4894316287830174E-2</v>
      </c>
    </row>
    <row r="19" spans="1:41" s="22" customFormat="1">
      <c r="A19" s="22">
        <f t="shared" si="4"/>
        <v>1948</v>
      </c>
      <c r="B19" s="23"/>
      <c r="C19" s="24">
        <v>4.5799999999999997E-13</v>
      </c>
      <c r="D19" s="25"/>
      <c r="E19" s="22">
        <v>0.20499999999999999</v>
      </c>
      <c r="F19" s="22">
        <v>0.22</v>
      </c>
      <c r="G19" s="29" t="s">
        <v>42</v>
      </c>
      <c r="H19" s="33" t="str">
        <f t="shared" si="5"/>
        <v>65391</v>
      </c>
      <c r="I19" s="30">
        <f t="shared" si="6"/>
        <v>22.890291563448134</v>
      </c>
      <c r="J19" s="22">
        <v>6588000</v>
      </c>
      <c r="K19" s="30">
        <f t="shared" si="7"/>
        <v>52.79973738228999</v>
      </c>
      <c r="L19" s="30">
        <f t="shared" si="8"/>
        <v>43.353040561004683</v>
      </c>
      <c r="N19" s="22">
        <v>3.3599999999999998E-13</v>
      </c>
      <c r="O19" s="22">
        <v>2.459493670886076E-14</v>
      </c>
      <c r="P19" s="34">
        <f t="shared" si="16"/>
        <v>43.353040561004683</v>
      </c>
      <c r="Q19" s="14">
        <f t="shared" si="9"/>
        <v>44.01787449979178</v>
      </c>
      <c r="R19" s="14">
        <f t="shared" si="10"/>
        <v>41.605130041915537</v>
      </c>
      <c r="S19" s="22">
        <v>0.1668</v>
      </c>
      <c r="T19" s="16">
        <v>24.190999999999999</v>
      </c>
      <c r="V19" s="49">
        <f t="shared" si="11"/>
        <v>3.8483738767753779E-13</v>
      </c>
      <c r="W19" s="8">
        <f t="shared" si="12"/>
        <v>1.1453493680879101</v>
      </c>
      <c r="X19" s="8">
        <f t="shared" si="17"/>
        <v>1.2499608205367085</v>
      </c>
      <c r="Y19" s="50">
        <f t="shared" si="18"/>
        <v>4.1998683570033403E-13</v>
      </c>
      <c r="Z19" s="57">
        <f t="shared" si="13"/>
        <v>3.8483738767753804E-13</v>
      </c>
      <c r="AA19" s="8">
        <f>Z19/N19</f>
        <v>1.145349368087911</v>
      </c>
      <c r="AB19" s="8">
        <f t="shared" si="19"/>
        <v>1.2499608205367092</v>
      </c>
      <c r="AC19" s="50">
        <f t="shared" si="20"/>
        <v>4.1998683570033428E-13</v>
      </c>
      <c r="AD19" s="57">
        <f t="shared" si="14"/>
        <v>3.8483738767753789E-13</v>
      </c>
      <c r="AE19" s="8">
        <f>AD19/N19</f>
        <v>1.1453493680879105</v>
      </c>
      <c r="AF19" s="8">
        <f t="shared" si="21"/>
        <v>1.2499608205367088</v>
      </c>
      <c r="AG19" s="50">
        <f t="shared" si="22"/>
        <v>4.1998683570033413E-13</v>
      </c>
      <c r="AH19" s="49">
        <f t="shared" si="15"/>
        <v>4.3360109314526061E-13</v>
      </c>
      <c r="AI19" s="8">
        <f>AH19/N19</f>
        <v>1.2904794438847043</v>
      </c>
      <c r="AJ19" s="8">
        <f t="shared" si="23"/>
        <v>1.4142288295344858</v>
      </c>
      <c r="AK19" s="50">
        <f t="shared" si="24"/>
        <v>4.751808867235872E-13</v>
      </c>
      <c r="AM19" s="35">
        <f t="shared" si="25"/>
        <v>-8.2998175326781554E-2</v>
      </c>
      <c r="AN19" s="35">
        <f t="shared" si="26"/>
        <v>-8.2998175326780999E-2</v>
      </c>
      <c r="AO19" s="35">
        <f t="shared" si="27"/>
        <v>-8.2998175326781332E-2</v>
      </c>
    </row>
    <row r="20" spans="1:41" s="22" customFormat="1">
      <c r="A20" s="22">
        <f t="shared" si="4"/>
        <v>1949</v>
      </c>
      <c r="B20" s="23"/>
      <c r="C20" s="24">
        <v>6.4699999999999997E-13</v>
      </c>
      <c r="D20" s="25"/>
      <c r="E20" s="22">
        <v>0.19899999999999998</v>
      </c>
      <c r="F20" s="22">
        <v>0.22800000000000001</v>
      </c>
      <c r="G20" s="29" t="s">
        <v>43</v>
      </c>
      <c r="H20" s="33" t="str">
        <f t="shared" si="5"/>
        <v>65597</v>
      </c>
      <c r="I20" s="30">
        <f t="shared" si="6"/>
        <v>22.962402405338764</v>
      </c>
      <c r="J20" s="22">
        <v>6486000</v>
      </c>
      <c r="K20" s="30">
        <f t="shared" si="7"/>
        <v>51.982255109522299</v>
      </c>
      <c r="L20" s="30">
        <f t="shared" si="8"/>
        <v>44.173540291699325</v>
      </c>
      <c r="N20" s="22">
        <v>3.3599999999999998E-13</v>
      </c>
      <c r="O20" s="22">
        <v>3.2240506329113925E-14</v>
      </c>
      <c r="P20" s="34">
        <f t="shared" si="16"/>
        <v>44.173540291699325</v>
      </c>
      <c r="Q20" s="14">
        <f t="shared" si="9"/>
        <v>44.85095687891598</v>
      </c>
      <c r="R20" s="14">
        <f t="shared" si="10"/>
        <v>42.392548814697371</v>
      </c>
      <c r="S20" s="22">
        <v>0.16469999999999999</v>
      </c>
      <c r="T20" s="16">
        <v>25.481000000000002</v>
      </c>
      <c r="V20" s="49">
        <f t="shared" si="11"/>
        <v>5.2814825678818785E-13</v>
      </c>
      <c r="W20" s="8">
        <f t="shared" si="12"/>
        <v>1.5718698118696068</v>
      </c>
      <c r="X20" s="8">
        <f t="shared" si="17"/>
        <v>1.7154378694960881</v>
      </c>
      <c r="Y20" s="50">
        <f t="shared" si="18"/>
        <v>5.7638712415068553E-13</v>
      </c>
      <c r="Z20" s="57">
        <f t="shared" si="13"/>
        <v>5.2814825678818815E-13</v>
      </c>
      <c r="AA20" s="8">
        <f>Z20/N20</f>
        <v>1.5718698118696077</v>
      </c>
      <c r="AB20" s="8">
        <f t="shared" si="19"/>
        <v>1.715437869496089</v>
      </c>
      <c r="AC20" s="50">
        <f t="shared" si="20"/>
        <v>5.7638712415068583E-13</v>
      </c>
      <c r="AD20" s="57">
        <f t="shared" si="14"/>
        <v>5.2814825678818785E-13</v>
      </c>
      <c r="AE20" s="8">
        <f>AD20/N20</f>
        <v>1.5718698118696068</v>
      </c>
      <c r="AF20" s="8">
        <f t="shared" si="21"/>
        <v>1.7154378694960879</v>
      </c>
      <c r="AG20" s="50">
        <f t="shared" si="22"/>
        <v>5.7638712415068553E-13</v>
      </c>
      <c r="AH20" s="49">
        <f t="shared" si="15"/>
        <v>5.7563734299857804E-13</v>
      </c>
      <c r="AI20" s="8">
        <f>AH20/N20</f>
        <v>1.7132063779719586</v>
      </c>
      <c r="AJ20" s="8">
        <f t="shared" si="23"/>
        <v>1.8774927893285884</v>
      </c>
      <c r="AK20" s="50">
        <f t="shared" si="24"/>
        <v>6.308375772144057E-13</v>
      </c>
      <c r="AM20" s="35">
        <f t="shared" si="25"/>
        <v>-0.10913891166818301</v>
      </c>
      <c r="AN20" s="35">
        <f t="shared" si="26"/>
        <v>-0.10913891166818257</v>
      </c>
      <c r="AO20" s="35">
        <f t="shared" si="27"/>
        <v>-0.10913891166818301</v>
      </c>
    </row>
    <row r="21" spans="1:41" s="22" customFormat="1">
      <c r="A21" s="22">
        <f t="shared" si="4"/>
        <v>1950</v>
      </c>
      <c r="B21" s="23"/>
      <c r="C21" s="24">
        <v>7.9199999999999996E-13</v>
      </c>
      <c r="D21" s="25"/>
      <c r="E21" s="22">
        <v>0.20800000000000002</v>
      </c>
      <c r="F21" s="22">
        <v>0.23499999999999999</v>
      </c>
      <c r="G21" s="29" t="s">
        <v>44</v>
      </c>
      <c r="H21" s="33" t="str">
        <f t="shared" si="5"/>
        <v>67477</v>
      </c>
      <c r="I21" s="30">
        <f t="shared" si="6"/>
        <v>23.620501350748416</v>
      </c>
      <c r="J21" s="22">
        <v>6550000</v>
      </c>
      <c r="K21" s="30">
        <f t="shared" si="7"/>
        <v>52.495185163023592</v>
      </c>
      <c r="L21" s="30">
        <f t="shared" si="8"/>
        <v>44.995557740000422</v>
      </c>
      <c r="N21" s="22">
        <v>3.91E-13</v>
      </c>
      <c r="O21" s="22">
        <v>4.0474683544303794E-14</v>
      </c>
      <c r="P21" s="34">
        <f t="shared" si="16"/>
        <v>44.995557740000422</v>
      </c>
      <c r="Q21" s="14">
        <f t="shared" si="9"/>
        <v>45.68558025037342</v>
      </c>
      <c r="R21" s="14">
        <f t="shared" si="10"/>
        <v>43.181424113655133</v>
      </c>
      <c r="S21" s="22">
        <v>0.1668</v>
      </c>
      <c r="T21" s="16">
        <v>27.382999999999999</v>
      </c>
      <c r="V21" s="49">
        <f t="shared" si="11"/>
        <v>6.9070426555046117E-13</v>
      </c>
      <c r="W21" s="8">
        <f t="shared" si="12"/>
        <v>1.7665070730190822</v>
      </c>
      <c r="X21" s="8">
        <f t="shared" si="17"/>
        <v>1.9278524893771569</v>
      </c>
      <c r="Y21" s="50">
        <f t="shared" si="18"/>
        <v>7.5379032334646833E-13</v>
      </c>
      <c r="Z21" s="57">
        <f t="shared" si="13"/>
        <v>6.9070426555046147E-13</v>
      </c>
      <c r="AA21" s="8">
        <f>Z21/N21</f>
        <v>1.7665070730190831</v>
      </c>
      <c r="AB21" s="8">
        <f t="shared" si="19"/>
        <v>1.9278524893771578</v>
      </c>
      <c r="AC21" s="50">
        <f t="shared" si="20"/>
        <v>7.5379032334646873E-13</v>
      </c>
      <c r="AD21" s="57">
        <f t="shared" si="14"/>
        <v>6.9070426555046117E-13</v>
      </c>
      <c r="AE21" s="8">
        <f>AD21/N21</f>
        <v>1.7665070730190822</v>
      </c>
      <c r="AF21" s="8">
        <f t="shared" si="21"/>
        <v>1.9278524893771567</v>
      </c>
      <c r="AG21" s="50">
        <f t="shared" si="22"/>
        <v>7.5379032334646823E-13</v>
      </c>
      <c r="AH21" s="49">
        <f t="shared" si="15"/>
        <v>7.1355609641377805E-13</v>
      </c>
      <c r="AI21" s="8">
        <f>AH21/N21</f>
        <v>1.824951653232169</v>
      </c>
      <c r="AJ21" s="8">
        <f t="shared" si="23"/>
        <v>1.9999537789911062</v>
      </c>
      <c r="AK21" s="50">
        <f t="shared" si="24"/>
        <v>7.8198192758552251E-13</v>
      </c>
      <c r="AM21" s="35">
        <f t="shared" si="25"/>
        <v>-4.8244541229206628E-2</v>
      </c>
      <c r="AN21" s="35">
        <f t="shared" si="26"/>
        <v>-4.8244541229206073E-2</v>
      </c>
      <c r="AO21" s="35">
        <f t="shared" si="27"/>
        <v>-4.8244541229206739E-2</v>
      </c>
    </row>
    <row r="22" spans="1:41" s="22" customFormat="1">
      <c r="A22" s="22">
        <f t="shared" si="4"/>
        <v>1951</v>
      </c>
      <c r="B22" s="23"/>
      <c r="C22" s="24">
        <v>9.9000000000000002E-13</v>
      </c>
      <c r="D22" s="25"/>
      <c r="E22" s="22">
        <v>0.21199999999999999</v>
      </c>
      <c r="F22" s="22">
        <v>0.23499999999999999</v>
      </c>
      <c r="G22" s="29" t="s">
        <v>45</v>
      </c>
      <c r="H22" s="33" t="str">
        <f t="shared" si="5"/>
        <v>70100</v>
      </c>
      <c r="I22" s="30">
        <f t="shared" si="6"/>
        <v>24.538689400647094</v>
      </c>
      <c r="J22" s="22">
        <v>6682000</v>
      </c>
      <c r="K22" s="30">
        <f t="shared" si="7"/>
        <v>53.553103398370027</v>
      </c>
      <c r="L22" s="30">
        <f t="shared" si="8"/>
        <v>45.821227610487966</v>
      </c>
      <c r="N22" s="22">
        <v>4.9999999999999999E-13</v>
      </c>
      <c r="O22" s="22">
        <v>5.5322784810126571E-14</v>
      </c>
      <c r="P22" s="34">
        <f t="shared" si="16"/>
        <v>45.821227610487966</v>
      </c>
      <c r="Q22" s="14">
        <f t="shared" si="9"/>
        <v>46.52391205518046</v>
      </c>
      <c r="R22" s="14">
        <f t="shared" si="10"/>
        <v>43.973804576220083</v>
      </c>
      <c r="S22" s="22">
        <v>0.17989999999999998</v>
      </c>
      <c r="T22" s="16">
        <v>27.134</v>
      </c>
      <c r="V22" s="49">
        <f t="shared" si="11"/>
        <v>8.5175228206134885E-13</v>
      </c>
      <c r="W22" s="8">
        <f t="shared" si="12"/>
        <v>1.7035045641226978</v>
      </c>
      <c r="X22" s="8">
        <f t="shared" si="17"/>
        <v>1.8590955930884157</v>
      </c>
      <c r="Y22" s="50">
        <f t="shared" si="18"/>
        <v>9.2954779654420778E-13</v>
      </c>
      <c r="Z22" s="57">
        <f t="shared" si="13"/>
        <v>8.5175228206134936E-13</v>
      </c>
      <c r="AA22" s="8">
        <f>Z22/N22</f>
        <v>1.7035045641226987</v>
      </c>
      <c r="AB22" s="8">
        <f t="shared" si="19"/>
        <v>1.8590955930884163</v>
      </c>
      <c r="AC22" s="50">
        <f t="shared" si="20"/>
        <v>9.2954779654420818E-13</v>
      </c>
      <c r="AD22" s="57">
        <f t="shared" si="14"/>
        <v>8.5175228206134895E-13</v>
      </c>
      <c r="AE22" s="8">
        <f>AD22/N22</f>
        <v>1.703504564122698</v>
      </c>
      <c r="AF22" s="8">
        <f t="shared" si="21"/>
        <v>1.8590955930884157</v>
      </c>
      <c r="AG22" s="50">
        <f t="shared" si="22"/>
        <v>9.2954779654420778E-13</v>
      </c>
      <c r="AH22" s="49">
        <f t="shared" si="15"/>
        <v>9.0430217491515122E-13</v>
      </c>
      <c r="AI22" s="8">
        <f>AH22/N22</f>
        <v>1.8086043498303024</v>
      </c>
      <c r="AJ22" s="8">
        <f t="shared" si="23"/>
        <v>1.982038865378478</v>
      </c>
      <c r="AK22" s="50">
        <f t="shared" si="24"/>
        <v>9.9101943268923896E-13</v>
      </c>
      <c r="AM22" s="35">
        <f t="shared" si="25"/>
        <v>-6.1062831773527559E-2</v>
      </c>
      <c r="AN22" s="35">
        <f t="shared" si="26"/>
        <v>-6.1062831773527115E-2</v>
      </c>
      <c r="AO22" s="35">
        <f t="shared" si="27"/>
        <v>-6.1062831773527559E-2</v>
      </c>
    </row>
    <row r="23" spans="1:41" s="22" customFormat="1">
      <c r="A23" s="22">
        <f t="shared" si="4"/>
        <v>1952</v>
      </c>
      <c r="B23" s="23"/>
      <c r="C23" s="24">
        <v>1.1999999999999999E-12</v>
      </c>
      <c r="D23" s="25"/>
      <c r="E23" s="22">
        <v>0.20399999999999999</v>
      </c>
      <c r="F23" s="22">
        <v>0.249</v>
      </c>
      <c r="G23" s="29" t="s">
        <v>46</v>
      </c>
      <c r="H23" s="33" t="str">
        <f t="shared" si="5"/>
        <v>66572</v>
      </c>
      <c r="I23" s="30">
        <f t="shared" si="6"/>
        <v>23.303703720112388</v>
      </c>
      <c r="J23" s="22">
        <v>6234000</v>
      </c>
      <c r="K23" s="30">
        <f t="shared" si="7"/>
        <v>49.962593023860933</v>
      </c>
      <c r="L23" s="30">
        <f t="shared" si="8"/>
        <v>46.64230239007631</v>
      </c>
      <c r="N23" s="22">
        <v>4.9999999999999999E-13</v>
      </c>
      <c r="O23" s="22">
        <v>6.2645569620253157E-14</v>
      </c>
      <c r="P23" s="34">
        <f t="shared" si="16"/>
        <v>46.64230239007631</v>
      </c>
      <c r="Q23" s="14">
        <f t="shared" si="9"/>
        <v>47.357578301772932</v>
      </c>
      <c r="R23" s="14">
        <f t="shared" si="10"/>
        <v>44.761775213039435</v>
      </c>
      <c r="S23" s="22">
        <v>0.18340000000000001</v>
      </c>
      <c r="T23" s="16">
        <v>27.780999999999999</v>
      </c>
      <c r="V23" s="49">
        <f t="shared" si="11"/>
        <v>9.5159524001179005E-13</v>
      </c>
      <c r="W23" s="8">
        <f t="shared" si="12"/>
        <v>1.9031904800235802</v>
      </c>
      <c r="X23" s="8">
        <f t="shared" si="17"/>
        <v>2.07701999086914</v>
      </c>
      <c r="Y23" s="50">
        <f t="shared" si="18"/>
        <v>1.0385099954345701E-12</v>
      </c>
      <c r="Z23" s="57">
        <f t="shared" si="13"/>
        <v>9.5159524001179066E-13</v>
      </c>
      <c r="AA23" s="8">
        <f>Z23/N23</f>
        <v>1.9031904800235813</v>
      </c>
      <c r="AB23" s="8">
        <f t="shared" si="19"/>
        <v>2.0770199908691409</v>
      </c>
      <c r="AC23" s="50">
        <f t="shared" si="20"/>
        <v>1.0385099954345705E-12</v>
      </c>
      <c r="AD23" s="57">
        <f t="shared" si="14"/>
        <v>9.5159524001179026E-13</v>
      </c>
      <c r="AE23" s="8">
        <f>AD23/N23</f>
        <v>1.9031904800235806</v>
      </c>
      <c r="AF23" s="8">
        <f t="shared" si="21"/>
        <v>2.0770199908691405</v>
      </c>
      <c r="AG23" s="50">
        <f t="shared" si="22"/>
        <v>1.0385099954345703E-12</v>
      </c>
      <c r="AH23" s="49">
        <f t="shared" si="15"/>
        <v>1.0044578948897985E-12</v>
      </c>
      <c r="AI23" s="8">
        <f>AH23/N23</f>
        <v>2.0089157897795968</v>
      </c>
      <c r="AJ23" s="8">
        <f t="shared" si="23"/>
        <v>2.2015589938115876</v>
      </c>
      <c r="AK23" s="50">
        <f t="shared" si="24"/>
        <v>1.1007794969057938E-12</v>
      </c>
      <c r="AM23" s="35">
        <f t="shared" si="25"/>
        <v>-0.13457500380452492</v>
      </c>
      <c r="AN23" s="35">
        <f t="shared" si="26"/>
        <v>-0.13457500380452458</v>
      </c>
      <c r="AO23" s="35">
        <f t="shared" si="27"/>
        <v>-0.1345750038045247</v>
      </c>
    </row>
    <row r="24" spans="1:41" s="22" customFormat="1">
      <c r="A24" s="22">
        <f t="shared" si="4"/>
        <v>1953</v>
      </c>
      <c r="B24" s="23"/>
      <c r="C24" s="24">
        <v>1.5000000000000001E-12</v>
      </c>
      <c r="D24" s="25"/>
      <c r="E24" s="22">
        <v>0.21299999999999999</v>
      </c>
      <c r="F24" s="22">
        <v>0.25700000000000001</v>
      </c>
      <c r="G24" s="29" t="s">
        <v>45</v>
      </c>
      <c r="H24" s="33" t="str">
        <f t="shared" si="5"/>
        <v>70100</v>
      </c>
      <c r="I24" s="30">
        <f t="shared" si="6"/>
        <v>24.538689400647094</v>
      </c>
      <c r="J24" s="22">
        <v>6450000</v>
      </c>
      <c r="K24" s="30">
        <f t="shared" si="7"/>
        <v>51.693731954427825</v>
      </c>
      <c r="L24" s="30">
        <f t="shared" si="8"/>
        <v>47.469370991206283</v>
      </c>
      <c r="N24" s="22">
        <v>4.9999999999999999E-13</v>
      </c>
      <c r="O24" s="22">
        <v>7.9810126582278485E-14</v>
      </c>
      <c r="P24" s="34">
        <f t="shared" si="16"/>
        <v>47.469370991206283</v>
      </c>
      <c r="Q24" s="14">
        <f t="shared" si="9"/>
        <v>48.197330287242757</v>
      </c>
      <c r="R24" s="14">
        <f t="shared" si="10"/>
        <v>45.555498012139921</v>
      </c>
      <c r="S24" s="22">
        <v>0.18479999999999999</v>
      </c>
      <c r="T24" s="16">
        <v>28.928999999999998</v>
      </c>
      <c r="V24" s="49">
        <f t="shared" si="11"/>
        <v>1.2310319162413916E-12</v>
      </c>
      <c r="W24" s="8">
        <f t="shared" si="12"/>
        <v>2.4620638324827833</v>
      </c>
      <c r="X24" s="8">
        <f t="shared" si="17"/>
        <v>2.6869385132691876</v>
      </c>
      <c r="Y24" s="50">
        <f t="shared" si="18"/>
        <v>1.3434692566345939E-12</v>
      </c>
      <c r="Z24" s="57">
        <f t="shared" si="13"/>
        <v>1.2310319162413922E-12</v>
      </c>
      <c r="AA24" s="8">
        <f>Z24/N24</f>
        <v>2.4620638324827846</v>
      </c>
      <c r="AB24" s="8">
        <f t="shared" si="19"/>
        <v>2.686938513269189</v>
      </c>
      <c r="AC24" s="50">
        <f t="shared" si="20"/>
        <v>1.3434692566345945E-12</v>
      </c>
      <c r="AD24" s="57">
        <f t="shared" si="14"/>
        <v>1.231031916241392E-12</v>
      </c>
      <c r="AE24" s="8">
        <f>AD24/N24</f>
        <v>2.4620638324827842</v>
      </c>
      <c r="AF24" s="8">
        <f t="shared" si="21"/>
        <v>2.6869385132691885</v>
      </c>
      <c r="AG24" s="50">
        <f t="shared" si="22"/>
        <v>1.3434692566345943E-12</v>
      </c>
      <c r="AH24" s="49">
        <f t="shared" si="15"/>
        <v>1.2699795804688181E-12</v>
      </c>
      <c r="AI24" s="8">
        <f>AH24/N24</f>
        <v>2.5399591609376362</v>
      </c>
      <c r="AJ24" s="8">
        <f t="shared" si="23"/>
        <v>2.7835262996712693</v>
      </c>
      <c r="AK24" s="50">
        <f t="shared" si="24"/>
        <v>1.3917631498356345E-12</v>
      </c>
      <c r="AM24" s="35">
        <f t="shared" si="25"/>
        <v>-0.10435382891027079</v>
      </c>
      <c r="AN24" s="35">
        <f t="shared" si="26"/>
        <v>-0.10435382891027045</v>
      </c>
      <c r="AO24" s="35">
        <f t="shared" si="27"/>
        <v>-0.10435382891027056</v>
      </c>
    </row>
    <row r="25" spans="1:41" s="22" customFormat="1">
      <c r="A25" s="22">
        <f t="shared" si="4"/>
        <v>1954</v>
      </c>
      <c r="B25" s="23"/>
      <c r="C25" s="24">
        <v>1.48E-12</v>
      </c>
      <c r="D25" s="25"/>
      <c r="E25" s="22">
        <v>0.22899999999999998</v>
      </c>
      <c r="F25" s="22">
        <v>0.26400000000000001</v>
      </c>
      <c r="G25" s="29" t="s">
        <v>47</v>
      </c>
      <c r="H25" s="33" t="str">
        <f t="shared" si="5"/>
        <v>72994</v>
      </c>
      <c r="I25" s="30">
        <f t="shared" si="6"/>
        <v>25.551741713421311</v>
      </c>
      <c r="J25" s="22">
        <v>6602000</v>
      </c>
      <c r="K25" s="30">
        <f t="shared" si="7"/>
        <v>52.911940831493411</v>
      </c>
      <c r="L25" s="30">
        <f t="shared" si="8"/>
        <v>48.291068730203911</v>
      </c>
      <c r="N25" s="22">
        <v>4.9999999999999999E-13</v>
      </c>
      <c r="O25" s="22">
        <v>8.2848101265822778E-14</v>
      </c>
      <c r="P25" s="34">
        <f t="shared" si="16"/>
        <v>48.291068730203911</v>
      </c>
      <c r="Q25" s="14">
        <f t="shared" si="9"/>
        <v>49.031629046543486</v>
      </c>
      <c r="R25" s="14">
        <f t="shared" si="10"/>
        <v>46.344066491853312</v>
      </c>
      <c r="S25" s="22">
        <v>0.1862</v>
      </c>
      <c r="T25" s="16">
        <v>30.164999999999999</v>
      </c>
      <c r="V25" s="49">
        <f t="shared" si="11"/>
        <v>1.2999682078015856E-12</v>
      </c>
      <c r="W25" s="8">
        <f t="shared" si="12"/>
        <v>2.599936415603171</v>
      </c>
      <c r="X25" s="8">
        <f t="shared" si="17"/>
        <v>2.8374038052825572</v>
      </c>
      <c r="Y25" s="50">
        <f t="shared" si="18"/>
        <v>1.4187019026412787E-12</v>
      </c>
      <c r="Z25" s="57">
        <f t="shared" si="13"/>
        <v>1.2999682078015864E-12</v>
      </c>
      <c r="AA25" s="8">
        <f>Z25/N25</f>
        <v>2.5999364156031728</v>
      </c>
      <c r="AB25" s="8">
        <f t="shared" si="19"/>
        <v>2.837403805282559</v>
      </c>
      <c r="AC25" s="50">
        <f t="shared" si="20"/>
        <v>1.4187019026412795E-12</v>
      </c>
      <c r="AD25" s="57">
        <f t="shared" si="14"/>
        <v>1.2999682078015858E-12</v>
      </c>
      <c r="AE25" s="8">
        <f>AD25/N25</f>
        <v>2.5999364156031715</v>
      </c>
      <c r="AF25" s="8">
        <f t="shared" si="21"/>
        <v>2.8374038052825572</v>
      </c>
      <c r="AG25" s="50">
        <f t="shared" si="22"/>
        <v>1.4187019026412787E-12</v>
      </c>
      <c r="AH25" s="49">
        <f t="shared" si="15"/>
        <v>1.3084091975580071E-12</v>
      </c>
      <c r="AI25" s="8">
        <f>AH25/N25</f>
        <v>2.6168183951160144</v>
      </c>
      <c r="AJ25" s="8">
        <f t="shared" si="23"/>
        <v>2.8677558821772857</v>
      </c>
      <c r="AK25" s="50">
        <f t="shared" si="24"/>
        <v>1.4338779410886429E-12</v>
      </c>
      <c r="AM25" s="35">
        <f t="shared" si="25"/>
        <v>-4.1417633350487315E-2</v>
      </c>
      <c r="AN25" s="35">
        <f t="shared" si="26"/>
        <v>-4.141763335048676E-2</v>
      </c>
      <c r="AO25" s="35">
        <f t="shared" si="27"/>
        <v>-4.1417633350487315E-2</v>
      </c>
    </row>
    <row r="26" spans="1:41" s="22" customFormat="1">
      <c r="A26" s="22">
        <f t="shared" si="4"/>
        <v>1955</v>
      </c>
      <c r="B26" s="23"/>
      <c r="C26" s="24">
        <v>1.6799999999999999E-12</v>
      </c>
      <c r="D26" s="25"/>
      <c r="E26" s="22">
        <v>0.24100000000000002</v>
      </c>
      <c r="F26" s="22">
        <v>0.28000000000000003</v>
      </c>
      <c r="G26" s="29" t="s">
        <v>48</v>
      </c>
      <c r="H26" s="33" t="str">
        <f t="shared" si="5"/>
        <v>78150</v>
      </c>
      <c r="I26" s="30">
        <f t="shared" si="6"/>
        <v>27.356613076470332</v>
      </c>
      <c r="J26" s="22">
        <v>6950000</v>
      </c>
      <c r="K26" s="30">
        <f t="shared" si="7"/>
        <v>55.700997997406724</v>
      </c>
      <c r="L26" s="30">
        <f t="shared" si="8"/>
        <v>49.11332661893055</v>
      </c>
      <c r="N26" s="22">
        <v>6.8999999999999999E-13</v>
      </c>
      <c r="O26" s="22">
        <v>9.3037974683544301E-14</v>
      </c>
      <c r="P26" s="34">
        <f t="shared" si="16"/>
        <v>49.11332661893055</v>
      </c>
      <c r="Q26" s="14">
        <f t="shared" si="9"/>
        <v>49.866496545663928</v>
      </c>
      <c r="R26" s="14">
        <f t="shared" si="10"/>
        <v>47.133172537144958</v>
      </c>
      <c r="S26" s="22">
        <v>0.1855</v>
      </c>
      <c r="T26" s="16">
        <v>31.96</v>
      </c>
      <c r="V26" s="49">
        <f t="shared" si="11"/>
        <v>1.5265712836730963E-12</v>
      </c>
      <c r="W26" s="8">
        <f t="shared" si="12"/>
        <v>2.2124221502508643</v>
      </c>
      <c r="X26" s="8">
        <f t="shared" si="17"/>
        <v>2.4144955970228472</v>
      </c>
      <c r="Y26" s="50">
        <f t="shared" si="18"/>
        <v>1.6660019619457646E-12</v>
      </c>
      <c r="Z26" s="57">
        <f t="shared" si="13"/>
        <v>1.5265712836730973E-12</v>
      </c>
      <c r="AA26" s="8">
        <f>Z26/N26</f>
        <v>2.2124221502508656</v>
      </c>
      <c r="AB26" s="8">
        <f t="shared" si="19"/>
        <v>2.4144955970228485</v>
      </c>
      <c r="AC26" s="50">
        <f t="shared" si="20"/>
        <v>1.6660019619457655E-12</v>
      </c>
      <c r="AD26" s="57">
        <f t="shared" si="14"/>
        <v>1.5265712836730965E-12</v>
      </c>
      <c r="AE26" s="8">
        <f>AD26/N26</f>
        <v>2.2124221502508647</v>
      </c>
      <c r="AF26" s="8">
        <f t="shared" si="21"/>
        <v>2.4144955970228472</v>
      </c>
      <c r="AG26" s="50">
        <f t="shared" si="22"/>
        <v>1.6660019619457646E-12</v>
      </c>
      <c r="AH26" s="49">
        <f t="shared" si="15"/>
        <v>1.4748811981755685E-12</v>
      </c>
      <c r="AI26" s="8">
        <f>AH26/N26</f>
        <v>2.1375089828631428</v>
      </c>
      <c r="AJ26" s="8">
        <f t="shared" si="23"/>
        <v>2.3424835174856691</v>
      </c>
      <c r="AK26" s="50">
        <f t="shared" si="24"/>
        <v>1.6163136270651116E-12</v>
      </c>
      <c r="AM26" s="35">
        <f t="shared" si="25"/>
        <v>-8.332165508473377E-3</v>
      </c>
      <c r="AN26" s="35">
        <f t="shared" si="26"/>
        <v>-8.3321655084729329E-3</v>
      </c>
      <c r="AO26" s="35">
        <f t="shared" si="27"/>
        <v>-8.332165508473377E-3</v>
      </c>
    </row>
    <row r="27" spans="1:41" s="22" customFormat="1">
      <c r="A27" s="22">
        <f t="shared" si="4"/>
        <v>1956</v>
      </c>
      <c r="B27" s="23"/>
      <c r="C27" s="24">
        <v>1.8800000000000001E-12</v>
      </c>
      <c r="D27" s="25"/>
      <c r="E27" s="22">
        <v>0.24</v>
      </c>
      <c r="F27" s="22">
        <v>0.27900000000000003</v>
      </c>
      <c r="G27" s="29" t="s">
        <v>49</v>
      </c>
      <c r="H27" s="33" t="str">
        <f t="shared" si="5"/>
        <v>80321</v>
      </c>
      <c r="I27" s="30">
        <f t="shared" si="6"/>
        <v>28.116577337366266</v>
      </c>
      <c r="J27" s="22">
        <v>7025000</v>
      </c>
      <c r="K27" s="30">
        <f t="shared" si="7"/>
        <v>56.302087903853561</v>
      </c>
      <c r="L27" s="30">
        <f t="shared" si="8"/>
        <v>49.938782706212649</v>
      </c>
      <c r="N27" s="22">
        <v>1.8E-12</v>
      </c>
      <c r="O27" s="22">
        <v>1.0550632911392404E-13</v>
      </c>
      <c r="P27" s="34">
        <f t="shared" si="16"/>
        <v>49.938782706212649</v>
      </c>
      <c r="Q27" s="14">
        <f t="shared" si="9"/>
        <v>50.704611288825802</v>
      </c>
      <c r="R27" s="14">
        <f t="shared" si="10"/>
        <v>47.92534783582871</v>
      </c>
      <c r="S27" s="22">
        <v>0.18820000000000001</v>
      </c>
      <c r="T27" s="16">
        <v>32.158999999999999</v>
      </c>
      <c r="V27" s="49">
        <f t="shared" si="11"/>
        <v>1.6885612285530117E-12</v>
      </c>
      <c r="W27" s="8">
        <f t="shared" si="12"/>
        <v>0.93808957141833982</v>
      </c>
      <c r="X27" s="8">
        <f t="shared" si="17"/>
        <v>1.0237707751867353</v>
      </c>
      <c r="Y27" s="50">
        <f t="shared" si="18"/>
        <v>1.8427873953361236E-12</v>
      </c>
      <c r="Z27" s="57">
        <f t="shared" si="13"/>
        <v>1.6885612285530123E-12</v>
      </c>
      <c r="AA27" s="8">
        <f>Z27/N27</f>
        <v>0.93808957141834015</v>
      </c>
      <c r="AB27" s="8">
        <f t="shared" si="19"/>
        <v>1.0237707751867355</v>
      </c>
      <c r="AC27" s="50">
        <f t="shared" si="20"/>
        <v>1.8427873953361241E-12</v>
      </c>
      <c r="AD27" s="57">
        <f t="shared" si="14"/>
        <v>1.6885612285530117E-12</v>
      </c>
      <c r="AE27" s="8">
        <f>AD27/N27</f>
        <v>0.93808957141833982</v>
      </c>
      <c r="AF27" s="8">
        <f t="shared" si="21"/>
        <v>1.0237707751867353</v>
      </c>
      <c r="AG27" s="50">
        <f t="shared" si="22"/>
        <v>1.8427873953361236E-12</v>
      </c>
      <c r="AH27" s="49">
        <f t="shared" si="15"/>
        <v>1.6485404172360917E-12</v>
      </c>
      <c r="AI27" s="8">
        <f>AH27/N27</f>
        <v>0.91585578735338424</v>
      </c>
      <c r="AJ27" s="8">
        <f t="shared" si="23"/>
        <v>1.0036809685802959</v>
      </c>
      <c r="AK27" s="50">
        <f t="shared" si="24"/>
        <v>1.8066257434445326E-12</v>
      </c>
      <c r="AM27" s="35">
        <f t="shared" si="25"/>
        <v>-1.97939386509981E-2</v>
      </c>
      <c r="AN27" s="35">
        <f t="shared" si="26"/>
        <v>-1.9793938650997878E-2</v>
      </c>
      <c r="AO27" s="35">
        <f t="shared" si="27"/>
        <v>-1.97939386509981E-2</v>
      </c>
    </row>
    <row r="28" spans="1:41" s="22" customFormat="1">
      <c r="A28" s="22">
        <f t="shared" si="4"/>
        <v>1957</v>
      </c>
      <c r="B28" s="23"/>
      <c r="C28" s="24">
        <v>2.2400000000000001E-12</v>
      </c>
      <c r="D28" s="25"/>
      <c r="E28" s="22">
        <v>0.25</v>
      </c>
      <c r="F28" s="22">
        <v>0.28599999999999998</v>
      </c>
      <c r="G28" s="29" t="s">
        <v>50</v>
      </c>
      <c r="H28" s="33" t="str">
        <f t="shared" si="5"/>
        <v>84481</v>
      </c>
      <c r="I28" s="30">
        <f t="shared" si="6"/>
        <v>29.572796280400386</v>
      </c>
      <c r="J28" s="22">
        <v>7270000</v>
      </c>
      <c r="K28" s="30">
        <f t="shared" si="7"/>
        <v>58.265648264913217</v>
      </c>
      <c r="L28" s="30">
        <f t="shared" si="8"/>
        <v>50.755114138511559</v>
      </c>
      <c r="N28" s="22">
        <v>1.8E-12</v>
      </c>
      <c r="O28" s="22">
        <v>1.3158227848101266E-13</v>
      </c>
      <c r="P28" s="34">
        <f t="shared" si="16"/>
        <v>50.755114138511559</v>
      </c>
      <c r="Q28" s="14">
        <f t="shared" si="9"/>
        <v>51.533461447250218</v>
      </c>
      <c r="R28" s="14">
        <f t="shared" si="10"/>
        <v>48.708766367922365</v>
      </c>
      <c r="S28" s="22">
        <v>0.19450000000000001</v>
      </c>
      <c r="T28" s="16">
        <v>32.850999999999999</v>
      </c>
      <c r="V28" s="49">
        <f t="shared" si="11"/>
        <v>2.0480469944721873E-12</v>
      </c>
      <c r="W28" s="8">
        <f t="shared" si="12"/>
        <v>1.1378038858178818</v>
      </c>
      <c r="X28" s="8">
        <f t="shared" si="17"/>
        <v>1.2417261652669935</v>
      </c>
      <c r="Y28" s="50">
        <f t="shared" si="18"/>
        <v>2.2351070974805885E-12</v>
      </c>
      <c r="Z28" s="57">
        <f t="shared" si="13"/>
        <v>2.0480469944721877E-12</v>
      </c>
      <c r="AA28" s="8">
        <f>Z28/N28</f>
        <v>1.1378038858178821</v>
      </c>
      <c r="AB28" s="8">
        <f t="shared" si="19"/>
        <v>1.2417261652669938</v>
      </c>
      <c r="AC28" s="50">
        <f t="shared" si="20"/>
        <v>2.2351070974805889E-12</v>
      </c>
      <c r="AD28" s="57">
        <f t="shared" si="14"/>
        <v>2.0480469944721873E-12</v>
      </c>
      <c r="AE28" s="8">
        <f>AD28/N28</f>
        <v>1.1378038858178818</v>
      </c>
      <c r="AF28" s="8">
        <f t="shared" si="21"/>
        <v>1.2417261652669935</v>
      </c>
      <c r="AG28" s="50">
        <f t="shared" si="22"/>
        <v>2.2351070974805885E-12</v>
      </c>
      <c r="AH28" s="49">
        <f t="shared" si="15"/>
        <v>1.9893834567679196E-12</v>
      </c>
      <c r="AI28" s="8">
        <f>AH28/N28</f>
        <v>1.1052130315377331</v>
      </c>
      <c r="AJ28" s="8">
        <f t="shared" si="23"/>
        <v>1.2111964583277119</v>
      </c>
      <c r="AK28" s="50">
        <f t="shared" si="24"/>
        <v>2.1801536249898814E-12</v>
      </c>
      <c r="AM28" s="35">
        <f t="shared" si="25"/>
        <v>-2.1843314818802417E-3</v>
      </c>
      <c r="AN28" s="35">
        <f t="shared" si="26"/>
        <v>-2.1843314818800197E-3</v>
      </c>
      <c r="AO28" s="35">
        <f t="shared" si="27"/>
        <v>-2.1843314818802417E-3</v>
      </c>
    </row>
    <row r="29" spans="1:41" s="22" customFormat="1">
      <c r="A29" s="22">
        <f t="shared" si="4"/>
        <v>1958</v>
      </c>
      <c r="B29" s="23"/>
      <c r="C29" s="24">
        <v>2.7700000000000001E-12</v>
      </c>
      <c r="D29" s="25"/>
      <c r="E29" s="22">
        <v>0.26400000000000001</v>
      </c>
      <c r="F29" s="22">
        <v>0.29299999999999998</v>
      </c>
      <c r="G29" s="29" t="s">
        <v>51</v>
      </c>
      <c r="H29" s="33" t="str">
        <f t="shared" si="5"/>
        <v>89637</v>
      </c>
      <c r="I29" s="30">
        <f t="shared" si="6"/>
        <v>31.37766764344941</v>
      </c>
      <c r="J29" s="22">
        <v>7590000</v>
      </c>
      <c r="K29" s="30">
        <f t="shared" si="7"/>
        <v>60.830298532419711</v>
      </c>
      <c r="L29" s="30">
        <f t="shared" si="8"/>
        <v>51.582300926447985</v>
      </c>
      <c r="N29" s="22">
        <v>1.8E-12</v>
      </c>
      <c r="O29" s="22">
        <v>1.7316455696202532E-13</v>
      </c>
      <c r="P29" s="34">
        <f t="shared" si="16"/>
        <v>51.582300926447985</v>
      </c>
      <c r="Q29" s="14">
        <f t="shared" si="9"/>
        <v>52.37333343196223</v>
      </c>
      <c r="R29" s="14">
        <f t="shared" si="10"/>
        <v>49.502602588766479</v>
      </c>
      <c r="S29" s="22">
        <v>0.2</v>
      </c>
      <c r="T29" s="16">
        <v>33.515000000000001</v>
      </c>
      <c r="V29" s="49">
        <f t="shared" si="11"/>
        <v>2.6312424010213659E-12</v>
      </c>
      <c r="W29" s="8">
        <f t="shared" si="12"/>
        <v>1.4618013339007587</v>
      </c>
      <c r="X29" s="8">
        <f t="shared" si="17"/>
        <v>1.5953161940750318</v>
      </c>
      <c r="Y29" s="50">
        <f t="shared" si="18"/>
        <v>2.871569149335057E-12</v>
      </c>
      <c r="Z29" s="57">
        <f t="shared" si="13"/>
        <v>2.6312424010213671E-12</v>
      </c>
      <c r="AA29" s="8">
        <f>Z29/N29</f>
        <v>1.4618013339007594</v>
      </c>
      <c r="AB29" s="8">
        <f t="shared" si="19"/>
        <v>1.5953161940750322</v>
      </c>
      <c r="AC29" s="50">
        <f t="shared" si="20"/>
        <v>2.8715691493350578E-12</v>
      </c>
      <c r="AD29" s="57">
        <f t="shared" si="14"/>
        <v>2.6312424010213663E-12</v>
      </c>
      <c r="AE29" s="8">
        <f>AD29/N29</f>
        <v>1.4618013339007589</v>
      </c>
      <c r="AF29" s="8">
        <f t="shared" si="21"/>
        <v>1.5953161940750318</v>
      </c>
      <c r="AG29" s="50">
        <f t="shared" si="22"/>
        <v>2.871569149335057E-12</v>
      </c>
      <c r="AH29" s="49">
        <f t="shared" si="15"/>
        <v>2.546066342679081E-12</v>
      </c>
      <c r="AI29" s="8">
        <f>AH29/N29</f>
        <v>1.4144813014883784</v>
      </c>
      <c r="AJ29" s="8">
        <f t="shared" si="23"/>
        <v>1.5501217356710162</v>
      </c>
      <c r="AK29" s="50">
        <f t="shared" si="24"/>
        <v>2.7902191242078293E-12</v>
      </c>
      <c r="AM29" s="35">
        <f t="shared" si="25"/>
        <v>3.666756293684359E-2</v>
      </c>
      <c r="AN29" s="35">
        <f t="shared" si="26"/>
        <v>3.6667562936844034E-2</v>
      </c>
      <c r="AO29" s="35">
        <f t="shared" si="27"/>
        <v>3.666756293684359E-2</v>
      </c>
    </row>
    <row r="30" spans="1:41" s="22" customFormat="1">
      <c r="A30" s="22">
        <f t="shared" si="4"/>
        <v>1959</v>
      </c>
      <c r="B30" s="23"/>
      <c r="C30" s="24">
        <v>6.7199999999999996E-12</v>
      </c>
      <c r="D30" s="25"/>
      <c r="E30" s="22">
        <v>0.24</v>
      </c>
      <c r="F30" s="22">
        <v>0.30399999999999999</v>
      </c>
      <c r="G30" s="29" t="s">
        <v>52</v>
      </c>
      <c r="H30" s="33" t="str">
        <f t="shared" si="5"/>
        <v>83848</v>
      </c>
      <c r="I30" s="30">
        <f t="shared" si="6"/>
        <v>29.351212965270435</v>
      </c>
      <c r="J30" s="22">
        <v>6988000</v>
      </c>
      <c r="K30" s="30">
        <f t="shared" si="7"/>
        <v>56.005550216673115</v>
      </c>
      <c r="L30" s="30">
        <f t="shared" si="8"/>
        <v>52.407686116317166</v>
      </c>
      <c r="N30" s="22">
        <v>8.0600000000000008E-12</v>
      </c>
      <c r="O30" s="22">
        <v>3.6999999999999994E-13</v>
      </c>
      <c r="P30" s="34">
        <f t="shared" si="16"/>
        <v>52.407686116317166</v>
      </c>
      <c r="Q30" s="14">
        <f t="shared" si="9"/>
        <v>53.211376190474724</v>
      </c>
      <c r="R30" s="14">
        <f t="shared" si="10"/>
        <v>50.2947098484835</v>
      </c>
      <c r="S30" s="22">
        <v>0.2014</v>
      </c>
      <c r="T30" s="16">
        <v>35.173000000000002</v>
      </c>
      <c r="V30" s="49">
        <f t="shared" si="11"/>
        <v>5.7670009123809806E-12</v>
      </c>
      <c r="W30" s="8">
        <f t="shared" si="12"/>
        <v>0.71550879806215628</v>
      </c>
      <c r="X30" s="8">
        <f t="shared" si="17"/>
        <v>0.78086039879699087</v>
      </c>
      <c r="Y30" s="50">
        <f t="shared" si="18"/>
        <v>6.2937348143037469E-12</v>
      </c>
      <c r="Z30" s="57">
        <f t="shared" si="13"/>
        <v>5.767000912380983E-12</v>
      </c>
      <c r="AA30" s="8">
        <f>Z30/N30</f>
        <v>0.71550879806215661</v>
      </c>
      <c r="AB30" s="8">
        <f t="shared" si="19"/>
        <v>0.7808603987969911</v>
      </c>
      <c r="AC30" s="50">
        <f t="shared" si="20"/>
        <v>6.2937348143037485E-12</v>
      </c>
      <c r="AD30" s="57">
        <f t="shared" si="14"/>
        <v>5.7670009123809822E-12</v>
      </c>
      <c r="AE30" s="8">
        <f>AD30/N30</f>
        <v>0.7155087980621565</v>
      </c>
      <c r="AF30" s="8">
        <f t="shared" si="21"/>
        <v>0.78086039879699098</v>
      </c>
      <c r="AG30" s="50">
        <f t="shared" si="22"/>
        <v>6.2937348143037477E-12</v>
      </c>
      <c r="AH30" s="49">
        <f t="shared" si="15"/>
        <v>5.4023530604851953E-12</v>
      </c>
      <c r="AI30" s="8">
        <f>AH30/N30</f>
        <v>0.67026712909245589</v>
      </c>
      <c r="AJ30" s="8">
        <f t="shared" si="23"/>
        <v>0.73454180300492533</v>
      </c>
      <c r="AK30" s="50">
        <f t="shared" si="24"/>
        <v>5.9204069322196991E-12</v>
      </c>
      <c r="AM30" s="35">
        <f t="shared" si="25"/>
        <v>-6.3432319300037565E-2</v>
      </c>
      <c r="AN30" s="35">
        <f t="shared" si="26"/>
        <v>-6.3432319300037343E-2</v>
      </c>
      <c r="AO30" s="35">
        <f t="shared" si="27"/>
        <v>-6.3432319300037454E-2</v>
      </c>
    </row>
    <row r="31" spans="1:41" s="22" customFormat="1">
      <c r="A31" s="22">
        <f t="shared" si="4"/>
        <v>1960</v>
      </c>
      <c r="B31" s="23"/>
      <c r="C31" s="24">
        <v>7.6999999999999999E-12</v>
      </c>
      <c r="D31" s="25"/>
      <c r="E31" s="22">
        <v>0.26700000000000002</v>
      </c>
      <c r="F31" s="22">
        <v>0.31</v>
      </c>
      <c r="G31" s="29" t="s">
        <v>53</v>
      </c>
      <c r="H31" s="33" t="str">
        <f t="shared" si="5"/>
        <v>90451</v>
      </c>
      <c r="I31" s="30">
        <f t="shared" si="6"/>
        <v>31.662610484706565</v>
      </c>
      <c r="J31" s="22">
        <v>7425000</v>
      </c>
      <c r="K31" s="30">
        <f t="shared" si="7"/>
        <v>59.507900738236671</v>
      </c>
      <c r="L31" s="30">
        <f t="shared" si="8"/>
        <v>53.20740622994591</v>
      </c>
      <c r="N31" s="22">
        <v>8.2799999999999995E-12</v>
      </c>
      <c r="O31" s="22">
        <v>4.7094936708860761E-13</v>
      </c>
      <c r="P31" s="34">
        <f t="shared" si="16"/>
        <v>53.20740622994591</v>
      </c>
      <c r="Q31" s="14">
        <f t="shared" si="9"/>
        <v>54.023360289886035</v>
      </c>
      <c r="R31" s="14">
        <f t="shared" si="10"/>
        <v>51.062186798060765</v>
      </c>
      <c r="S31" s="22">
        <v>0.20480000000000001</v>
      </c>
      <c r="T31" s="16">
        <v>35.777999999999999</v>
      </c>
      <c r="V31" s="49">
        <f t="shared" si="11"/>
        <v>7.2323855902737578E-12</v>
      </c>
      <c r="W31" s="8">
        <f t="shared" si="12"/>
        <v>0.87347652056446357</v>
      </c>
      <c r="X31" s="8">
        <f t="shared" si="17"/>
        <v>0.95325623672977411</v>
      </c>
      <c r="Y31" s="50">
        <f t="shared" si="18"/>
        <v>7.8929616401225297E-12</v>
      </c>
      <c r="Z31" s="57">
        <f t="shared" si="13"/>
        <v>7.2323855902737611E-12</v>
      </c>
      <c r="AA31" s="8">
        <f>Z31/N31</f>
        <v>0.87347652056446401</v>
      </c>
      <c r="AB31" s="8">
        <f t="shared" si="19"/>
        <v>0.95325623672977444</v>
      </c>
      <c r="AC31" s="50">
        <f t="shared" si="20"/>
        <v>7.8929616401225314E-12</v>
      </c>
      <c r="AD31" s="57">
        <f t="shared" si="14"/>
        <v>7.2323855902737611E-12</v>
      </c>
      <c r="AE31" s="8">
        <f>AD31/N31</f>
        <v>0.87347652056446401</v>
      </c>
      <c r="AF31" s="8">
        <f t="shared" si="21"/>
        <v>0.95325623672977444</v>
      </c>
      <c r="AG31" s="50">
        <f t="shared" si="22"/>
        <v>7.8929616401225314E-12</v>
      </c>
      <c r="AH31" s="49">
        <f t="shared" si="15"/>
        <v>6.7621526549490028E-12</v>
      </c>
      <c r="AI31" s="8">
        <f>AH31/N31</f>
        <v>0.81668510325471055</v>
      </c>
      <c r="AJ31" s="8">
        <f t="shared" si="23"/>
        <v>0.89500039938439324</v>
      </c>
      <c r="AK31" s="50">
        <f t="shared" si="24"/>
        <v>7.4106033069027748E-12</v>
      </c>
      <c r="AM31" s="35">
        <f t="shared" si="25"/>
        <v>2.5059953262666301E-2</v>
      </c>
      <c r="AN31" s="35">
        <f t="shared" si="26"/>
        <v>2.5059953262666523E-2</v>
      </c>
      <c r="AO31" s="35">
        <f t="shared" si="27"/>
        <v>2.5059953262666523E-2</v>
      </c>
    </row>
    <row r="32" spans="1:41" s="22" customFormat="1">
      <c r="A32" s="22">
        <f t="shared" si="4"/>
        <v>1961</v>
      </c>
      <c r="B32" s="23"/>
      <c r="C32" s="24">
        <v>7.9799999999999995E-12</v>
      </c>
      <c r="D32" s="25"/>
      <c r="E32" s="22">
        <v>0.30099999999999999</v>
      </c>
      <c r="F32" s="22">
        <v>0.32200000000000001</v>
      </c>
      <c r="G32" s="29" t="s">
        <v>54</v>
      </c>
      <c r="H32" s="33" t="str">
        <f t="shared" si="5"/>
        <v>98277</v>
      </c>
      <c r="I32" s="30">
        <f t="shared" si="6"/>
        <v>34.402122371289508</v>
      </c>
      <c r="J32" s="22">
        <v>7717000</v>
      </c>
      <c r="K32" s="30">
        <f t="shared" si="7"/>
        <v>61.848144107336353</v>
      </c>
      <c r="L32" s="30">
        <f t="shared" si="8"/>
        <v>55.62353223014297</v>
      </c>
      <c r="N32" s="22">
        <v>8.2899999999999996E-12</v>
      </c>
      <c r="O32" s="22">
        <v>5.3462025316455689E-13</v>
      </c>
      <c r="P32" s="34">
        <f t="shared" si="16"/>
        <v>55.62353223014297</v>
      </c>
      <c r="Q32" s="14">
        <f t="shared" si="9"/>
        <v>56.476538421710558</v>
      </c>
      <c r="R32" s="14">
        <f t="shared" si="10"/>
        <v>53.380899283622178</v>
      </c>
      <c r="S32" s="22">
        <v>0.2069</v>
      </c>
      <c r="T32" s="16">
        <v>36.975000000000001</v>
      </c>
      <c r="V32" s="49">
        <f t="shared" si="11"/>
        <v>8.0339268040446907E-12</v>
      </c>
      <c r="W32" s="8">
        <f t="shared" si="12"/>
        <v>0.9691105915614826</v>
      </c>
      <c r="X32" s="8">
        <f t="shared" si="17"/>
        <v>1.0576251264199674</v>
      </c>
      <c r="Y32" s="50">
        <f t="shared" si="18"/>
        <v>8.7677122980215295E-12</v>
      </c>
      <c r="Z32" s="57">
        <f t="shared" si="13"/>
        <v>8.0339268040446939E-12</v>
      </c>
      <c r="AA32" s="8">
        <f>Z32/N32</f>
        <v>0.96911059156148305</v>
      </c>
      <c r="AB32" s="8">
        <f t="shared" si="19"/>
        <v>1.0576251264199679</v>
      </c>
      <c r="AC32" s="50">
        <f t="shared" si="20"/>
        <v>8.7677122980215327E-12</v>
      </c>
      <c r="AD32" s="57">
        <f t="shared" si="14"/>
        <v>8.0339268040446923E-12</v>
      </c>
      <c r="AE32" s="8">
        <f>AD32/N32</f>
        <v>0.96911059156148283</v>
      </c>
      <c r="AF32" s="8">
        <f t="shared" si="21"/>
        <v>1.0576251264199676</v>
      </c>
      <c r="AG32" s="50">
        <f t="shared" si="22"/>
        <v>8.7677122980215311E-12</v>
      </c>
      <c r="AH32" s="49">
        <f t="shared" si="15"/>
        <v>7.5984607067184319E-12</v>
      </c>
      <c r="AI32" s="8">
        <f>AH32/N32</f>
        <v>0.91658150865119814</v>
      </c>
      <c r="AJ32" s="8">
        <f t="shared" si="23"/>
        <v>1.0044762822805173</v>
      </c>
      <c r="AK32" s="50">
        <f t="shared" si="24"/>
        <v>8.3271083801054887E-12</v>
      </c>
      <c r="AM32" s="35">
        <f t="shared" si="25"/>
        <v>9.871081428841233E-2</v>
      </c>
      <c r="AN32" s="35">
        <f t="shared" si="26"/>
        <v>9.8710814288412774E-2</v>
      </c>
      <c r="AO32" s="35">
        <f t="shared" si="27"/>
        <v>9.8710814288412552E-2</v>
      </c>
    </row>
    <row r="33" spans="1:41" s="22" customFormat="1">
      <c r="A33" s="22">
        <f t="shared" si="4"/>
        <v>1962</v>
      </c>
      <c r="B33" s="23"/>
      <c r="C33" s="24">
        <v>1.1100000000000001E-11</v>
      </c>
      <c r="D33" s="25"/>
      <c r="E33" s="22">
        <v>0.28499999999999998</v>
      </c>
      <c r="F33" s="22">
        <v>0.33500000000000002</v>
      </c>
      <c r="G33" s="29" t="s">
        <v>55</v>
      </c>
      <c r="H33" s="33" t="str">
        <f t="shared" si="5"/>
        <v>98119</v>
      </c>
      <c r="I33" s="30">
        <f t="shared" si="6"/>
        <v>34.346814055664652</v>
      </c>
      <c r="J33" s="22">
        <v>7384000</v>
      </c>
      <c r="K33" s="30">
        <f t="shared" si="7"/>
        <v>59.179304922712404</v>
      </c>
      <c r="L33" s="30">
        <f t="shared" si="8"/>
        <v>58.038556046782332</v>
      </c>
      <c r="N33" s="22">
        <v>1.1600000000000001E-11</v>
      </c>
      <c r="O33" s="22">
        <v>6.8481012658227843E-13</v>
      </c>
      <c r="P33" s="34">
        <f t="shared" si="16"/>
        <v>58.038556046782332</v>
      </c>
      <c r="Q33" s="14">
        <f t="shared" si="9"/>
        <v>58.928597467609606</v>
      </c>
      <c r="R33" s="14">
        <f t="shared" si="10"/>
        <v>55.698554023529432</v>
      </c>
      <c r="S33" s="22">
        <v>0.20899999999999999</v>
      </c>
      <c r="T33" s="16">
        <v>38.593000000000004</v>
      </c>
      <c r="V33" s="49">
        <f t="shared" si="11"/>
        <v>1.0190820774076867E-11</v>
      </c>
      <c r="W33" s="8">
        <f t="shared" si="12"/>
        <v>0.87851903224800576</v>
      </c>
      <c r="X33" s="8">
        <f t="shared" si="17"/>
        <v>0.95875931047926999</v>
      </c>
      <c r="Y33" s="50">
        <f t="shared" si="18"/>
        <v>1.1121608001559533E-11</v>
      </c>
      <c r="Z33" s="57">
        <f t="shared" si="13"/>
        <v>1.019082077407687E-11</v>
      </c>
      <c r="AA33" s="8">
        <f>Z33/N33</f>
        <v>0.87851903224800598</v>
      </c>
      <c r="AB33" s="8">
        <f t="shared" si="19"/>
        <v>0.95875931047927021</v>
      </c>
      <c r="AC33" s="50">
        <f t="shared" si="20"/>
        <v>1.1121608001559535E-11</v>
      </c>
      <c r="AD33" s="57">
        <f t="shared" si="14"/>
        <v>1.019082077407687E-11</v>
      </c>
      <c r="AE33" s="8">
        <f>AD33/N33</f>
        <v>0.87851903224800598</v>
      </c>
      <c r="AF33" s="8">
        <f t="shared" si="21"/>
        <v>0.95875931047927021</v>
      </c>
      <c r="AG33" s="50">
        <f t="shared" si="22"/>
        <v>1.1121608001559535E-11</v>
      </c>
      <c r="AH33" s="49">
        <f t="shared" si="15"/>
        <v>9.6352856220752042E-12</v>
      </c>
      <c r="AI33" s="8">
        <f>AH33/N33</f>
        <v>0.83062807086855206</v>
      </c>
      <c r="AJ33" s="8">
        <f t="shared" si="23"/>
        <v>0.91028041555373418</v>
      </c>
      <c r="AK33" s="50">
        <f t="shared" si="24"/>
        <v>1.0559252820423317E-11</v>
      </c>
      <c r="AM33" s="35">
        <f t="shared" si="25"/>
        <v>1.9466668071650428E-3</v>
      </c>
      <c r="AN33" s="35">
        <f t="shared" si="26"/>
        <v>1.9466668071652649E-3</v>
      </c>
      <c r="AO33" s="35">
        <f t="shared" si="27"/>
        <v>1.9466668071652649E-3</v>
      </c>
    </row>
    <row r="34" spans="1:41" s="22" customFormat="1">
      <c r="A34" s="22">
        <f t="shared" si="4"/>
        <v>1963</v>
      </c>
      <c r="B34" s="23"/>
      <c r="C34" s="24">
        <v>1.38E-11</v>
      </c>
      <c r="D34" s="25"/>
      <c r="E34" s="22">
        <v>0.29100000000000004</v>
      </c>
      <c r="F34" s="22">
        <v>0.34699999999999998</v>
      </c>
      <c r="G34" s="29" t="s">
        <v>56</v>
      </c>
      <c r="H34" s="33" t="str">
        <f t="shared" si="5"/>
        <v>97181</v>
      </c>
      <c r="I34" s="30">
        <f t="shared" si="6"/>
        <v>34.018464688220902</v>
      </c>
      <c r="J34" s="22">
        <v>7022000</v>
      </c>
      <c r="K34" s="30">
        <f t="shared" si="7"/>
        <v>56.278044307595678</v>
      </c>
      <c r="L34" s="30">
        <f t="shared" si="8"/>
        <v>60.447133703310882</v>
      </c>
      <c r="N34" s="22">
        <v>1.39E-11</v>
      </c>
      <c r="O34" s="22">
        <v>8.4936708860759502E-13</v>
      </c>
      <c r="P34" s="34">
        <f t="shared" si="16"/>
        <v>60.447133703310882</v>
      </c>
      <c r="Q34" s="14">
        <f t="shared" si="9"/>
        <v>61.374111499293008</v>
      </c>
      <c r="R34" s="14">
        <f t="shared" si="10"/>
        <v>58.01002250000024</v>
      </c>
      <c r="S34" s="22">
        <v>0.21179999999999999</v>
      </c>
      <c r="T34" s="16">
        <v>40.042000000000002</v>
      </c>
      <c r="V34" s="49">
        <f t="shared" si="11"/>
        <v>1.2425184829383087E-11</v>
      </c>
      <c r="W34" s="8">
        <f t="shared" si="12"/>
        <v>0.8938981891642509</v>
      </c>
      <c r="X34" s="8">
        <f t="shared" si="17"/>
        <v>0.97554313568911388</v>
      </c>
      <c r="Y34" s="50">
        <f t="shared" si="18"/>
        <v>1.3560049586078684E-11</v>
      </c>
      <c r="Z34" s="57">
        <f t="shared" si="13"/>
        <v>1.242518482938309E-11</v>
      </c>
      <c r="AA34" s="8">
        <f>Z34/N34</f>
        <v>0.89389818916425112</v>
      </c>
      <c r="AB34" s="8">
        <f t="shared" si="19"/>
        <v>0.97554313568911399</v>
      </c>
      <c r="AC34" s="50">
        <f t="shared" si="20"/>
        <v>1.3560049586078685E-11</v>
      </c>
      <c r="AD34" s="57">
        <f t="shared" si="14"/>
        <v>1.242518482938309E-11</v>
      </c>
      <c r="AE34" s="8">
        <f>AD34/N34</f>
        <v>0.89389818916425112</v>
      </c>
      <c r="AF34" s="8">
        <f t="shared" si="21"/>
        <v>0.97554313568911399</v>
      </c>
      <c r="AG34" s="50">
        <f t="shared" si="22"/>
        <v>1.3560049586078685E-11</v>
      </c>
      <c r="AH34" s="49">
        <f t="shared" si="15"/>
        <v>1.1792616585889147E-11</v>
      </c>
      <c r="AI34" s="8">
        <f>AH34/N34</f>
        <v>0.84838968243806812</v>
      </c>
      <c r="AJ34" s="8">
        <f t="shared" si="23"/>
        <v>0.92974526116567802</v>
      </c>
      <c r="AK34" s="50">
        <f t="shared" si="24"/>
        <v>1.2923459130202924E-11</v>
      </c>
      <c r="AM34" s="35">
        <f t="shared" si="25"/>
        <v>-1.7387711153718621E-2</v>
      </c>
      <c r="AN34" s="35">
        <f t="shared" si="26"/>
        <v>-1.738771115371851E-2</v>
      </c>
      <c r="AO34" s="35">
        <f t="shared" si="27"/>
        <v>-1.738771115371851E-2</v>
      </c>
    </row>
    <row r="35" spans="1:41" s="22" customFormat="1">
      <c r="A35" s="22">
        <f t="shared" si="4"/>
        <v>1964</v>
      </c>
      <c r="B35" s="23"/>
      <c r="C35" s="24">
        <v>1.6100000000000001E-11</v>
      </c>
      <c r="D35" s="25"/>
      <c r="E35" s="22">
        <v>0.314</v>
      </c>
      <c r="F35" s="22">
        <v>0.36199999999999999</v>
      </c>
      <c r="G35" s="29" t="s">
        <v>57</v>
      </c>
      <c r="H35" s="33" t="str">
        <f t="shared" si="5"/>
        <v>108745</v>
      </c>
      <c r="I35" s="30">
        <f t="shared" si="6"/>
        <v>38.06647330775133</v>
      </c>
      <c r="J35" s="22">
        <v>7557000</v>
      </c>
      <c r="K35" s="30">
        <f t="shared" si="7"/>
        <v>60.565818973583106</v>
      </c>
      <c r="L35" s="30">
        <f t="shared" si="8"/>
        <v>62.851413475238772</v>
      </c>
      <c r="N35" s="22">
        <v>1.41E-11</v>
      </c>
      <c r="O35" s="22">
        <v>1.0373417721518987E-12</v>
      </c>
      <c r="P35" s="34">
        <f t="shared" si="16"/>
        <v>62.851413475238772</v>
      </c>
      <c r="Q35" s="14">
        <f t="shared" si="9"/>
        <v>63.815261736822215</v>
      </c>
      <c r="R35" s="14">
        <f t="shared" si="10"/>
        <v>60.317366374242425</v>
      </c>
      <c r="S35" s="22">
        <v>0.2145</v>
      </c>
      <c r="T35" s="16">
        <v>40.575000000000003</v>
      </c>
      <c r="V35" s="49">
        <f t="shared" si="11"/>
        <v>1.4602640216894749E-11</v>
      </c>
      <c r="W35" s="8">
        <f t="shared" si="12"/>
        <v>1.0356482423329609</v>
      </c>
      <c r="X35" s="8">
        <f t="shared" si="17"/>
        <v>1.1302400497544502</v>
      </c>
      <c r="Y35" s="50">
        <f t="shared" si="18"/>
        <v>1.5936384701537747E-11</v>
      </c>
      <c r="Z35" s="57">
        <f t="shared" si="13"/>
        <v>1.4602640216894753E-11</v>
      </c>
      <c r="AA35" s="8">
        <f>Z35/N35</f>
        <v>1.0356482423329612</v>
      </c>
      <c r="AB35" s="8">
        <f t="shared" si="19"/>
        <v>1.1302400497544505</v>
      </c>
      <c r="AC35" s="50">
        <f t="shared" si="20"/>
        <v>1.593638470153775E-11</v>
      </c>
      <c r="AD35" s="57">
        <f t="shared" si="14"/>
        <v>1.4602640216894749E-11</v>
      </c>
      <c r="AE35" s="8">
        <f>AD35/N35</f>
        <v>1.0356482423329609</v>
      </c>
      <c r="AF35" s="8">
        <f t="shared" si="21"/>
        <v>1.1302400497544502</v>
      </c>
      <c r="AG35" s="50">
        <f t="shared" si="22"/>
        <v>1.5936384701537747E-11</v>
      </c>
      <c r="AH35" s="49">
        <f t="shared" si="15"/>
        <v>1.422116828082108E-11</v>
      </c>
      <c r="AI35" s="8">
        <f>AH35/N35</f>
        <v>1.0085934950936937</v>
      </c>
      <c r="AJ35" s="8">
        <f t="shared" si="23"/>
        <v>1.105311676835891</v>
      </c>
      <c r="AK35" s="50">
        <f t="shared" si="24"/>
        <v>1.5584894643386063E-11</v>
      </c>
      <c r="AM35" s="35">
        <f t="shared" si="25"/>
        <v>-1.016244089827667E-2</v>
      </c>
      <c r="AN35" s="35">
        <f t="shared" si="26"/>
        <v>-1.0162440898276448E-2</v>
      </c>
      <c r="AO35" s="35">
        <f t="shared" si="27"/>
        <v>-1.016244089827667E-2</v>
      </c>
    </row>
    <row r="36" spans="1:41" s="22" customFormat="1">
      <c r="A36" s="22">
        <f t="shared" si="4"/>
        <v>1965</v>
      </c>
      <c r="B36" s="23"/>
      <c r="C36" s="24">
        <v>1.9500000000000001E-11</v>
      </c>
      <c r="D36" s="25"/>
      <c r="E36" s="22">
        <v>0.33799999999999997</v>
      </c>
      <c r="F36" s="22">
        <v>0.373</v>
      </c>
      <c r="G36" s="29" t="s">
        <v>58</v>
      </c>
      <c r="H36" s="33" t="str">
        <f t="shared" si="5"/>
        <v>120430</v>
      </c>
      <c r="I36" s="30">
        <f t="shared" si="6"/>
        <v>42.15683829557674</v>
      </c>
      <c r="J36" s="22">
        <v>8060000</v>
      </c>
      <c r="K36" s="30">
        <f t="shared" si="7"/>
        <v>64.597128612819873</v>
      </c>
      <c r="L36" s="30">
        <f t="shared" si="8"/>
        <v>65.261164390533523</v>
      </c>
      <c r="N36" s="22">
        <v>1.68E-11</v>
      </c>
      <c r="O36" s="22">
        <v>1.3341772151898735E-12</v>
      </c>
      <c r="P36" s="34">
        <f t="shared" si="16"/>
        <v>65.261164390533523</v>
      </c>
      <c r="Q36" s="14">
        <f t="shared" si="9"/>
        <v>66.261967019602608</v>
      </c>
      <c r="R36" s="14">
        <f t="shared" si="10"/>
        <v>62.629960805961325</v>
      </c>
      <c r="S36" s="22">
        <v>0.218</v>
      </c>
      <c r="T36" s="16">
        <v>41.616</v>
      </c>
      <c r="V36" s="49">
        <f t="shared" si="11"/>
        <v>1.8253908875422615E-11</v>
      </c>
      <c r="W36" s="8">
        <f t="shared" si="12"/>
        <v>1.086542194965632</v>
      </c>
      <c r="X36" s="8">
        <f t="shared" si="17"/>
        <v>1.1857824445604055</v>
      </c>
      <c r="Y36" s="50">
        <f t="shared" si="18"/>
        <v>1.9921145068614812E-11</v>
      </c>
      <c r="Z36" s="57">
        <f t="shared" si="13"/>
        <v>1.8253908875422615E-11</v>
      </c>
      <c r="AA36" s="8">
        <f>Z36/N36</f>
        <v>1.086542194965632</v>
      </c>
      <c r="AB36" s="8">
        <f t="shared" si="19"/>
        <v>1.1857824445604053</v>
      </c>
      <c r="AC36" s="50">
        <f t="shared" si="20"/>
        <v>1.9921145068614809E-11</v>
      </c>
      <c r="AD36" s="57">
        <f t="shared" si="14"/>
        <v>1.8253908875422615E-11</v>
      </c>
      <c r="AE36" s="8">
        <f>AD36/N36</f>
        <v>1.086542194965632</v>
      </c>
      <c r="AF36" s="8">
        <f t="shared" si="21"/>
        <v>1.1857824445604053</v>
      </c>
      <c r="AG36" s="50">
        <f t="shared" si="22"/>
        <v>1.9921145068614809E-11</v>
      </c>
      <c r="AH36" s="49">
        <f t="shared" si="15"/>
        <v>1.7996901156068942E-11</v>
      </c>
      <c r="AI36" s="8">
        <f>AH36/N36</f>
        <v>1.0712441164326751</v>
      </c>
      <c r="AJ36" s="8">
        <f t="shared" si="23"/>
        <v>1.1739701241329037</v>
      </c>
      <c r="AK36" s="50">
        <f t="shared" si="24"/>
        <v>1.9722698085432782E-11</v>
      </c>
      <c r="AM36" s="35">
        <f t="shared" si="25"/>
        <v>2.1597183005887866E-2</v>
      </c>
      <c r="AN36" s="35">
        <f t="shared" si="26"/>
        <v>2.1597183005887644E-2</v>
      </c>
      <c r="AO36" s="35">
        <f t="shared" si="27"/>
        <v>2.1597183005887644E-2</v>
      </c>
    </row>
    <row r="37" spans="1:41" s="22" customFormat="1">
      <c r="A37" s="22">
        <f t="shared" si="4"/>
        <v>1966</v>
      </c>
      <c r="B37" s="23"/>
      <c r="C37" s="24">
        <v>2.5200000000000001E-11</v>
      </c>
      <c r="D37" s="25"/>
      <c r="E37" s="22">
        <v>0.34</v>
      </c>
      <c r="F37" s="22">
        <v>0.377</v>
      </c>
      <c r="G37" s="29" t="s">
        <v>59</v>
      </c>
      <c r="H37" s="33" t="str">
        <f t="shared" si="5"/>
        <v>122964</v>
      </c>
      <c r="I37" s="30">
        <f t="shared" si="6"/>
        <v>43.04387166135762</v>
      </c>
      <c r="J37" s="22">
        <v>7936000</v>
      </c>
      <c r="K37" s="30">
        <f t="shared" si="7"/>
        <v>63.603326634161114</v>
      </c>
      <c r="L37" s="30">
        <f t="shared" si="8"/>
        <v>67.675503687001978</v>
      </c>
      <c r="N37" s="22">
        <v>2.07E-11</v>
      </c>
      <c r="O37" s="22">
        <v>1.7594936708860761E-12</v>
      </c>
      <c r="P37" s="34">
        <f t="shared" si="16"/>
        <v>67.675503687001978</v>
      </c>
      <c r="Q37" s="14">
        <f t="shared" si="9"/>
        <v>68.713331047976112</v>
      </c>
      <c r="R37" s="14">
        <f t="shared" si="10"/>
        <v>64.946958624223441</v>
      </c>
      <c r="S37" s="22">
        <v>0.22420000000000001</v>
      </c>
      <c r="T37" s="16">
        <v>42.454000000000001</v>
      </c>
      <c r="V37" s="49">
        <f t="shared" si="11"/>
        <v>2.3026745184503959E-11</v>
      </c>
      <c r="W37" s="8">
        <f t="shared" si="12"/>
        <v>1.1124031490098532</v>
      </c>
      <c r="X37" s="8">
        <f t="shared" si="17"/>
        <v>1.2140054306968904</v>
      </c>
      <c r="Y37" s="50">
        <f t="shared" si="18"/>
        <v>2.5129912415425632E-11</v>
      </c>
      <c r="Z37" s="57">
        <f t="shared" si="13"/>
        <v>2.3026745184503959E-11</v>
      </c>
      <c r="AA37" s="8">
        <f>Z37/N37</f>
        <v>1.1124031490098532</v>
      </c>
      <c r="AB37" s="8">
        <f t="shared" si="19"/>
        <v>1.2140054306968902</v>
      </c>
      <c r="AC37" s="50">
        <f t="shared" si="20"/>
        <v>2.5129912415425625E-11</v>
      </c>
      <c r="AD37" s="57">
        <f t="shared" si="14"/>
        <v>2.3026745184503959E-11</v>
      </c>
      <c r="AE37" s="8">
        <f>AD37/N37</f>
        <v>1.1124031490098532</v>
      </c>
      <c r="AF37" s="8">
        <f t="shared" si="21"/>
        <v>1.2140054306968902</v>
      </c>
      <c r="AG37" s="50">
        <f t="shared" si="22"/>
        <v>2.5129912415425625E-11</v>
      </c>
      <c r="AH37" s="49">
        <f t="shared" si="15"/>
        <v>2.3077715022640107E-11</v>
      </c>
      <c r="AI37" s="8">
        <f>AH37/N37</f>
        <v>1.1148654600309229</v>
      </c>
      <c r="AJ37" s="8">
        <f t="shared" si="23"/>
        <v>1.2217744979197234</v>
      </c>
      <c r="AK37" s="50">
        <f t="shared" si="24"/>
        <v>2.5290732106938275E-11</v>
      </c>
      <c r="AM37" s="35">
        <f t="shared" si="25"/>
        <v>-2.7812533561257791E-3</v>
      </c>
      <c r="AN37" s="35">
        <f t="shared" si="26"/>
        <v>-2.7812533561260011E-3</v>
      </c>
      <c r="AO37" s="35">
        <f t="shared" si="27"/>
        <v>-2.7812533561260011E-3</v>
      </c>
    </row>
    <row r="38" spans="1:41" s="22" customFormat="1">
      <c r="A38" s="22">
        <f t="shared" si="4"/>
        <v>1967</v>
      </c>
      <c r="B38" s="23"/>
      <c r="C38" s="24">
        <v>3.3100000000000001E-11</v>
      </c>
      <c r="D38" s="25"/>
      <c r="E38" s="22">
        <v>0.33299999999999996</v>
      </c>
      <c r="F38" s="22">
        <v>0.38800000000000001</v>
      </c>
      <c r="G38" s="29" t="s">
        <v>60</v>
      </c>
      <c r="H38" s="33" t="str">
        <f t="shared" si="5"/>
        <v>128048</v>
      </c>
      <c r="I38" s="30">
        <f t="shared" si="6"/>
        <v>44.823539235007978</v>
      </c>
      <c r="J38" s="22">
        <v>7980000</v>
      </c>
      <c r="K38" s="30">
        <f t="shared" si="7"/>
        <v>63.955966045943256</v>
      </c>
      <c r="L38" s="30">
        <f t="shared" si="8"/>
        <v>70.085000675009184</v>
      </c>
      <c r="N38" s="22">
        <v>3.3100000000000001E-11</v>
      </c>
      <c r="O38" s="22">
        <v>2.2734177215189874E-12</v>
      </c>
      <c r="P38" s="34">
        <f t="shared" si="16"/>
        <v>70.085000675009184</v>
      </c>
      <c r="Q38" s="14">
        <f t="shared" si="9"/>
        <v>71.159778509405783</v>
      </c>
      <c r="R38" s="14">
        <f t="shared" si="10"/>
        <v>67.259309366510578</v>
      </c>
      <c r="S38" s="22">
        <v>0.2311</v>
      </c>
      <c r="T38" s="16">
        <v>43.216000000000001</v>
      </c>
      <c r="V38" s="49">
        <f t="shared" si="11"/>
        <v>2.8372141432316505E-11</v>
      </c>
      <c r="W38" s="8">
        <f t="shared" si="12"/>
        <v>0.85716439372557418</v>
      </c>
      <c r="X38" s="8">
        <f t="shared" si="17"/>
        <v>0.93545422800096489</v>
      </c>
      <c r="Y38" s="50">
        <f t="shared" si="18"/>
        <v>3.0963534946831939E-11</v>
      </c>
      <c r="Z38" s="57">
        <f t="shared" si="13"/>
        <v>2.8372141432316509E-11</v>
      </c>
      <c r="AA38" s="8">
        <f>Z38/N38</f>
        <v>0.85716439372557429</v>
      </c>
      <c r="AB38" s="8">
        <f t="shared" si="19"/>
        <v>0.93545422800096489</v>
      </c>
      <c r="AC38" s="50">
        <f t="shared" si="20"/>
        <v>3.0963534946831939E-11</v>
      </c>
      <c r="AD38" s="57">
        <f t="shared" si="14"/>
        <v>2.8372141432316509E-11</v>
      </c>
      <c r="AE38" s="8">
        <f>AD38/N38</f>
        <v>0.85716439372557429</v>
      </c>
      <c r="AF38" s="8">
        <f t="shared" si="21"/>
        <v>0.93545422800096489</v>
      </c>
      <c r="AG38" s="50">
        <f t="shared" si="22"/>
        <v>3.0963534946831939E-11</v>
      </c>
      <c r="AH38" s="49">
        <f t="shared" si="15"/>
        <v>2.8928106054261409E-11</v>
      </c>
      <c r="AI38" s="8">
        <f>AH38/N38</f>
        <v>0.87396090798372839</v>
      </c>
      <c r="AJ38" s="8">
        <f t="shared" si="23"/>
        <v>0.95776861678329173</v>
      </c>
      <c r="AK38" s="50">
        <f t="shared" si="24"/>
        <v>3.1702141215526955E-11</v>
      </c>
      <c r="AM38" s="35">
        <f t="shared" si="25"/>
        <v>-6.4545771999035106E-2</v>
      </c>
      <c r="AN38" s="35">
        <f t="shared" si="26"/>
        <v>-6.4545771999035106E-2</v>
      </c>
      <c r="AO38" s="35">
        <f t="shared" si="27"/>
        <v>-6.4545771999035106E-2</v>
      </c>
    </row>
    <row r="39" spans="1:41" s="22" customFormat="1">
      <c r="A39" s="22">
        <f t="shared" si="4"/>
        <v>1968</v>
      </c>
      <c r="B39" s="23"/>
      <c r="C39" s="24">
        <v>3.5699999999999997E-11</v>
      </c>
      <c r="D39" s="25"/>
      <c r="E39" s="22">
        <v>0.35799999999999998</v>
      </c>
      <c r="F39" s="22">
        <v>0.40200000000000002</v>
      </c>
      <c r="G39" s="29" t="s">
        <v>61</v>
      </c>
      <c r="H39" s="33" t="str">
        <f t="shared" si="5"/>
        <v>135486</v>
      </c>
      <c r="I39" s="30">
        <f t="shared" si="6"/>
        <v>47.427230700942538</v>
      </c>
      <c r="J39" s="22">
        <v>8163000</v>
      </c>
      <c r="K39" s="30">
        <f t="shared" si="7"/>
        <v>65.42262541767353</v>
      </c>
      <c r="L39" s="30">
        <f t="shared" si="8"/>
        <v>72.493621890218975</v>
      </c>
      <c r="N39" s="22">
        <v>3.5000000000000002E-11</v>
      </c>
      <c r="O39" s="22">
        <v>2.6424050632911391E-12</v>
      </c>
      <c r="P39" s="34">
        <f t="shared" si="16"/>
        <v>72.493621890218975</v>
      </c>
      <c r="Q39" s="14">
        <f t="shared" si="9"/>
        <v>73.605336767757933</v>
      </c>
      <c r="R39" s="14">
        <f t="shared" si="10"/>
        <v>69.570819645461071</v>
      </c>
      <c r="S39" s="22">
        <v>0.24079999999999999</v>
      </c>
      <c r="T39" s="16">
        <v>44.77</v>
      </c>
      <c r="V39" s="49">
        <f t="shared" si="11"/>
        <v>3.1697392812805653E-11</v>
      </c>
      <c r="W39" s="8">
        <f t="shared" si="12"/>
        <v>0.90563979465159006</v>
      </c>
      <c r="X39" s="8">
        <f t="shared" si="17"/>
        <v>0.98835717063626227</v>
      </c>
      <c r="Y39" s="50">
        <f t="shared" si="18"/>
        <v>3.459250097226918E-11</v>
      </c>
      <c r="Z39" s="57">
        <f t="shared" si="13"/>
        <v>3.1697392812805653E-11</v>
      </c>
      <c r="AA39" s="8">
        <f>Z39/N39</f>
        <v>0.90563979465159006</v>
      </c>
      <c r="AB39" s="8">
        <f t="shared" si="19"/>
        <v>0.98835717063626216</v>
      </c>
      <c r="AC39" s="50">
        <f t="shared" si="20"/>
        <v>3.459250097226918E-11</v>
      </c>
      <c r="AD39" s="57">
        <f t="shared" si="14"/>
        <v>3.1697392812805653E-11</v>
      </c>
      <c r="AE39" s="8">
        <f>AD39/N39</f>
        <v>0.90563979465159006</v>
      </c>
      <c r="AF39" s="8">
        <f t="shared" si="21"/>
        <v>0.98835717063626216</v>
      </c>
      <c r="AG39" s="50">
        <f t="shared" si="22"/>
        <v>3.459250097226918E-11</v>
      </c>
      <c r="AH39" s="49">
        <f t="shared" si="15"/>
        <v>3.2268859469061357E-11</v>
      </c>
      <c r="AI39" s="8">
        <f>AH39/N39</f>
        <v>0.92196741340175303</v>
      </c>
      <c r="AJ39" s="8">
        <f t="shared" si="23"/>
        <v>1.0103786636066643</v>
      </c>
      <c r="AK39" s="50">
        <f t="shared" si="24"/>
        <v>3.536325322623325E-11</v>
      </c>
      <c r="AM39" s="35">
        <f t="shared" si="25"/>
        <v>-3.1022381729154502E-2</v>
      </c>
      <c r="AN39" s="35">
        <f t="shared" si="26"/>
        <v>-3.1022381729154502E-2</v>
      </c>
      <c r="AO39" s="35">
        <f t="shared" si="27"/>
        <v>-3.1022381729154502E-2</v>
      </c>
    </row>
    <row r="40" spans="1:41" s="22" customFormat="1">
      <c r="A40" s="22">
        <f t="shared" si="4"/>
        <v>1969</v>
      </c>
      <c r="B40" s="23"/>
      <c r="C40" s="24">
        <v>3.3800000000000002E-11</v>
      </c>
      <c r="D40" s="25"/>
      <c r="E40" s="22">
        <v>0.374</v>
      </c>
      <c r="F40" s="22">
        <v>0.40699999999999997</v>
      </c>
      <c r="G40" s="29" t="s">
        <v>62</v>
      </c>
      <c r="H40" s="33" t="str">
        <f t="shared" si="5"/>
        <v>149186</v>
      </c>
      <c r="I40" s="30">
        <f t="shared" si="6"/>
        <v>52.222951739300107</v>
      </c>
      <c r="J40" s="22">
        <v>8699000</v>
      </c>
      <c r="K40" s="30">
        <f t="shared" si="7"/>
        <v>69.718414615746909</v>
      </c>
      <c r="L40" s="30">
        <f t="shared" si="8"/>
        <v>74.905535398541318</v>
      </c>
      <c r="N40" s="22">
        <v>3.5000000000000002E-11</v>
      </c>
      <c r="O40" s="22">
        <v>2.7278481012658227E-12</v>
      </c>
      <c r="P40" s="34">
        <f t="shared" si="16"/>
        <v>74.905535398541318</v>
      </c>
      <c r="Q40" s="14">
        <f t="shared" si="9"/>
        <v>76.054237807681332</v>
      </c>
      <c r="R40" s="14">
        <f t="shared" si="10"/>
        <v>71.885489478650697</v>
      </c>
      <c r="S40" s="22">
        <v>0.254</v>
      </c>
      <c r="T40" s="16">
        <v>44.819000000000003</v>
      </c>
      <c r="V40" s="49">
        <f t="shared" si="11"/>
        <v>3.0055783375952909E-11</v>
      </c>
      <c r="W40" s="8">
        <f t="shared" si="12"/>
        <v>0.85873666788436875</v>
      </c>
      <c r="X40" s="8">
        <f t="shared" si="17"/>
        <v>0.93717010714875404</v>
      </c>
      <c r="Y40" s="50">
        <f t="shared" si="18"/>
        <v>3.280095375020639E-11</v>
      </c>
      <c r="Z40" s="57">
        <f t="shared" si="13"/>
        <v>3.0055783375952909E-11</v>
      </c>
      <c r="AA40" s="8">
        <f>Z40/N40</f>
        <v>0.85873666788436875</v>
      </c>
      <c r="AB40" s="8">
        <f t="shared" si="19"/>
        <v>0.93717010714875393</v>
      </c>
      <c r="AC40" s="50">
        <f t="shared" si="20"/>
        <v>3.280095375020639E-11</v>
      </c>
      <c r="AD40" s="57">
        <f t="shared" si="14"/>
        <v>3.0055783375952916E-11</v>
      </c>
      <c r="AE40" s="8">
        <f>AD40/N40</f>
        <v>0.85873666788436898</v>
      </c>
      <c r="AF40" s="8">
        <f t="shared" si="21"/>
        <v>0.93717010714875426</v>
      </c>
      <c r="AG40" s="50">
        <f t="shared" si="22"/>
        <v>3.2800953750206403E-11</v>
      </c>
      <c r="AH40" s="49">
        <f t="shared" si="15"/>
        <v>3.1581094122538911E-11</v>
      </c>
      <c r="AI40" s="8">
        <f>AH40/N40</f>
        <v>0.9023169749296831</v>
      </c>
      <c r="AJ40" s="8">
        <f t="shared" si="23"/>
        <v>0.98884386370583155</v>
      </c>
      <c r="AK40" s="50">
        <f t="shared" si="24"/>
        <v>3.4609535229704108E-11</v>
      </c>
      <c r="AM40" s="35">
        <f t="shared" si="25"/>
        <v>-2.9557581354840545E-2</v>
      </c>
      <c r="AN40" s="35">
        <f t="shared" si="26"/>
        <v>-2.9557581354840545E-2</v>
      </c>
      <c r="AO40" s="35">
        <f t="shared" si="27"/>
        <v>-2.9557581354840212E-2</v>
      </c>
    </row>
    <row r="41" spans="1:41" s="22" customFormat="1">
      <c r="A41" s="22">
        <f t="shared" si="4"/>
        <v>1970</v>
      </c>
      <c r="B41" s="23"/>
      <c r="C41" s="24">
        <v>3.5999999999999998E-11</v>
      </c>
      <c r="D41" s="25"/>
      <c r="E41" s="22">
        <v>0.38900000000000001</v>
      </c>
      <c r="F41" s="22">
        <v>0.40699999999999997</v>
      </c>
      <c r="G41" s="29" t="s">
        <v>63</v>
      </c>
      <c r="H41" s="33" t="str">
        <f t="shared" si="5"/>
        <v>159496</v>
      </c>
      <c r="I41" s="30">
        <f t="shared" si="6"/>
        <v>55.831994360137074</v>
      </c>
      <c r="J41" s="22">
        <v>9011000</v>
      </c>
      <c r="K41" s="30">
        <f t="shared" si="7"/>
        <v>72.218948626565748</v>
      </c>
      <c r="L41" s="30">
        <f t="shared" si="8"/>
        <v>77.309342522883625</v>
      </c>
      <c r="N41" s="22">
        <v>3.7700000000000003E-11</v>
      </c>
      <c r="O41" s="22">
        <v>3.2000000000000001E-12</v>
      </c>
      <c r="P41" s="34">
        <f t="shared" si="16"/>
        <v>77.309342522883625</v>
      </c>
      <c r="Q41" s="14">
        <f t="shared" si="9"/>
        <v>78.494908149410023</v>
      </c>
      <c r="R41" s="14">
        <f t="shared" si="10"/>
        <v>74.192379761541318</v>
      </c>
      <c r="S41" s="22">
        <v>0.26850000000000002</v>
      </c>
      <c r="T41" s="16">
        <v>45.075000000000003</v>
      </c>
      <c r="V41" s="49">
        <f t="shared" si="11"/>
        <v>3.2501453190950027E-11</v>
      </c>
      <c r="W41" s="8">
        <f t="shared" si="12"/>
        <v>0.86210751169628708</v>
      </c>
      <c r="X41" s="8">
        <f t="shared" si="17"/>
        <v>0.94084882982887441</v>
      </c>
      <c r="Y41" s="50">
        <f t="shared" si="18"/>
        <v>3.5470000884548569E-11</v>
      </c>
      <c r="Z41" s="57">
        <f t="shared" si="13"/>
        <v>3.2501453190950027E-11</v>
      </c>
      <c r="AA41" s="8">
        <f>Z41/N41</f>
        <v>0.86210751169628708</v>
      </c>
      <c r="AB41" s="8">
        <f t="shared" si="19"/>
        <v>0.9408488298288743</v>
      </c>
      <c r="AC41" s="50">
        <f t="shared" si="20"/>
        <v>3.5470000884548562E-11</v>
      </c>
      <c r="AD41" s="57">
        <f t="shared" si="14"/>
        <v>3.2501453190950033E-11</v>
      </c>
      <c r="AE41" s="8">
        <f>AD41/N41</f>
        <v>0.8621075116962873</v>
      </c>
      <c r="AF41" s="8">
        <f t="shared" si="21"/>
        <v>0.94084882982887452</v>
      </c>
      <c r="AG41" s="50">
        <f t="shared" si="22"/>
        <v>3.5470000884548575E-11</v>
      </c>
      <c r="AH41" s="49">
        <f t="shared" si="15"/>
        <v>3.5046640499486632E-11</v>
      </c>
      <c r="AI41" s="8">
        <f>AH41/N41</f>
        <v>0.92961911139221831</v>
      </c>
      <c r="AJ41" s="8">
        <f t="shared" si="23"/>
        <v>1.0187641144127864</v>
      </c>
      <c r="AK41" s="50">
        <f t="shared" si="24"/>
        <v>3.8407407113362048E-11</v>
      </c>
      <c r="AM41" s="35">
        <f t="shared" si="25"/>
        <v>-1.472219765142857E-2</v>
      </c>
      <c r="AN41" s="35">
        <f t="shared" si="26"/>
        <v>-1.4722197651428792E-2</v>
      </c>
      <c r="AO41" s="35">
        <f t="shared" si="27"/>
        <v>-1.4722197651428459E-2</v>
      </c>
    </row>
    <row r="42" spans="1:41" s="22" customFormat="1">
      <c r="A42" s="22">
        <f t="shared" si="4"/>
        <v>1971</v>
      </c>
      <c r="B42" s="23"/>
      <c r="C42" s="24">
        <v>4.8199999999999999E-11</v>
      </c>
      <c r="D42" s="25"/>
      <c r="E42" s="22">
        <v>0.40399999999999997</v>
      </c>
      <c r="F42" s="22">
        <v>0.434</v>
      </c>
      <c r="G42" s="29" t="s">
        <v>64</v>
      </c>
      <c r="H42" s="33" t="str">
        <f t="shared" si="5"/>
        <v>165504</v>
      </c>
      <c r="I42" s="30">
        <f t="shared" si="6"/>
        <v>57.935110564403658</v>
      </c>
      <c r="J42" s="22">
        <v>9203000</v>
      </c>
      <c r="K42" s="30">
        <f t="shared" si="7"/>
        <v>73.757738787069655</v>
      </c>
      <c r="L42" s="30">
        <f t="shared" si="8"/>
        <v>78.547839883833532</v>
      </c>
      <c r="N42" s="22">
        <v>4.5899999999999998E-11</v>
      </c>
      <c r="O42" s="22">
        <v>4.3493670886075949E-12</v>
      </c>
      <c r="P42" s="34">
        <f t="shared" si="16"/>
        <v>78.547839883833532</v>
      </c>
      <c r="Q42" s="14">
        <f t="shared" si="9"/>
        <v>79.752398297670865</v>
      </c>
      <c r="R42" s="14">
        <f t="shared" si="10"/>
        <v>75.380943310766483</v>
      </c>
      <c r="S42" s="22">
        <v>0.28029999999999999</v>
      </c>
      <c r="T42" s="16">
        <v>46.893000000000001</v>
      </c>
      <c r="V42" s="49">
        <f t="shared" si="11"/>
        <v>4.3328142729452197E-11</v>
      </c>
      <c r="W42" s="8">
        <f t="shared" si="12"/>
        <v>0.94396825118632244</v>
      </c>
      <c r="X42" s="8">
        <f t="shared" si="17"/>
        <v>1.0301863891392951</v>
      </c>
      <c r="Y42" s="50">
        <f t="shared" si="18"/>
        <v>4.7285555261493639E-11</v>
      </c>
      <c r="Z42" s="57">
        <f t="shared" si="13"/>
        <v>4.3328142729452203E-11</v>
      </c>
      <c r="AA42" s="8">
        <f>Z42/N42</f>
        <v>0.94396825118632255</v>
      </c>
      <c r="AB42" s="8">
        <f t="shared" si="19"/>
        <v>1.0301863891392951</v>
      </c>
      <c r="AC42" s="50">
        <f t="shared" si="20"/>
        <v>4.7285555261493639E-11</v>
      </c>
      <c r="AD42" s="57">
        <f t="shared" si="14"/>
        <v>4.3328142729452203E-11</v>
      </c>
      <c r="AE42" s="8">
        <f>AD42/N42</f>
        <v>0.94396825118632255</v>
      </c>
      <c r="AF42" s="8">
        <f t="shared" si="21"/>
        <v>1.0301863891392951</v>
      </c>
      <c r="AG42" s="50">
        <f t="shared" si="22"/>
        <v>4.7285555261493639E-11</v>
      </c>
      <c r="AH42" s="49">
        <f t="shared" si="15"/>
        <v>4.5629285839552251E-11</v>
      </c>
      <c r="AI42" s="8">
        <f>AH42/N42</f>
        <v>0.99410208800767441</v>
      </c>
      <c r="AJ42" s="8">
        <f t="shared" si="23"/>
        <v>1.0894306290759395</v>
      </c>
      <c r="AK42" s="50">
        <f t="shared" si="24"/>
        <v>5.0004865874585622E-11</v>
      </c>
      <c r="AM42" s="35">
        <f t="shared" si="25"/>
        <v>-1.897188254162574E-2</v>
      </c>
      <c r="AN42" s="35">
        <f t="shared" si="26"/>
        <v>-1.897188254162574E-2</v>
      </c>
      <c r="AO42" s="35">
        <f t="shared" si="27"/>
        <v>-1.897188254162574E-2</v>
      </c>
    </row>
    <row r="43" spans="1:41" s="22" customFormat="1">
      <c r="A43" s="22">
        <f t="shared" si="4"/>
        <v>1972</v>
      </c>
      <c r="B43" s="23"/>
      <c r="C43" s="24">
        <v>7.5300000000000001E-11</v>
      </c>
      <c r="D43" s="25"/>
      <c r="E43" s="22">
        <v>0.41700000000000004</v>
      </c>
      <c r="F43" s="22">
        <v>0.45600000000000002</v>
      </c>
      <c r="G43" s="29" t="s">
        <v>65</v>
      </c>
      <c r="H43" s="33" t="str">
        <f t="shared" si="5"/>
        <v>168965</v>
      </c>
      <c r="I43" s="30">
        <f t="shared" si="6"/>
        <v>59.146642718692391</v>
      </c>
      <c r="J43" s="22">
        <v>9248000</v>
      </c>
      <c r="K43" s="30">
        <f t="shared" si="7"/>
        <v>74.118392730937742</v>
      </c>
      <c r="L43" s="30">
        <f t="shared" si="8"/>
        <v>79.800223047745618</v>
      </c>
      <c r="N43" s="22">
        <v>7.9999999999999995E-11</v>
      </c>
      <c r="O43" s="22">
        <v>6.8924050632911394E-12</v>
      </c>
      <c r="P43" s="34">
        <f t="shared" si="16"/>
        <v>79.800223047745618</v>
      </c>
      <c r="Q43" s="14">
        <f t="shared" si="9"/>
        <v>81.023987192506539</v>
      </c>
      <c r="R43" s="14">
        <f t="shared" si="10"/>
        <v>76.582832814307693</v>
      </c>
      <c r="S43" s="22">
        <v>0.2893</v>
      </c>
      <c r="T43" s="16">
        <v>47.871000000000002</v>
      </c>
      <c r="V43" s="49">
        <f t="shared" si="11"/>
        <v>6.6847333658335742E-11</v>
      </c>
      <c r="W43" s="8">
        <f t="shared" si="12"/>
        <v>0.83559167072919682</v>
      </c>
      <c r="X43" s="8">
        <f t="shared" si="17"/>
        <v>0.91191114211898683</v>
      </c>
      <c r="Y43" s="50">
        <f t="shared" si="18"/>
        <v>7.2952891369518937E-11</v>
      </c>
      <c r="Z43" s="57">
        <f t="shared" si="13"/>
        <v>6.6847333658335742E-11</v>
      </c>
      <c r="AA43" s="8">
        <f>Z43/N43</f>
        <v>0.83559167072919682</v>
      </c>
      <c r="AB43" s="8">
        <f t="shared" si="19"/>
        <v>0.91191114211898672</v>
      </c>
      <c r="AC43" s="50">
        <f t="shared" si="20"/>
        <v>7.2952891369518937E-11</v>
      </c>
      <c r="AD43" s="57">
        <f t="shared" si="14"/>
        <v>6.6847333658335742E-11</v>
      </c>
      <c r="AE43" s="8">
        <f>AD43/N43</f>
        <v>0.83559167072919682</v>
      </c>
      <c r="AF43" s="8">
        <f t="shared" si="21"/>
        <v>0.91191114211898672</v>
      </c>
      <c r="AG43" s="50">
        <f t="shared" si="22"/>
        <v>7.2952891369518937E-11</v>
      </c>
      <c r="AH43" s="49">
        <f t="shared" si="15"/>
        <v>7.005885973951845E-11</v>
      </c>
      <c r="AI43" s="8">
        <f>AH43/N43</f>
        <v>0.87573574674398069</v>
      </c>
      <c r="AJ43" s="8">
        <f t="shared" si="23"/>
        <v>0.95971365213772419</v>
      </c>
      <c r="AK43" s="50">
        <f t="shared" si="24"/>
        <v>7.6777092171017931E-11</v>
      </c>
      <c r="AM43" s="35">
        <f t="shared" si="25"/>
        <v>-3.1170101334409894E-2</v>
      </c>
      <c r="AN43" s="35">
        <f t="shared" si="26"/>
        <v>-3.1170101334409894E-2</v>
      </c>
      <c r="AO43" s="35">
        <f t="shared" si="27"/>
        <v>-3.1170101334409894E-2</v>
      </c>
    </row>
    <row r="44" spans="1:41" s="22" customFormat="1">
      <c r="A44" s="22">
        <f t="shared" si="4"/>
        <v>1973</v>
      </c>
      <c r="B44" s="23"/>
      <c r="C44" s="24">
        <v>1.15E-10</v>
      </c>
      <c r="D44" s="25"/>
      <c r="E44" s="22">
        <v>0.41899999999999998</v>
      </c>
      <c r="F44" s="22">
        <v>0.46300000000000002</v>
      </c>
      <c r="G44" s="29" t="s">
        <v>66</v>
      </c>
      <c r="H44" s="33" t="str">
        <f t="shared" si="5"/>
        <v>175282</v>
      </c>
      <c r="I44" s="30">
        <f t="shared" si="6"/>
        <v>61.357925185794912</v>
      </c>
      <c r="J44" s="22">
        <v>9446000</v>
      </c>
      <c r="K44" s="30">
        <f t="shared" si="7"/>
        <v>75.705270083957387</v>
      </c>
      <c r="L44" s="30">
        <f t="shared" si="8"/>
        <v>81.04841990227203</v>
      </c>
      <c r="N44" s="22">
        <v>8.68E-11</v>
      </c>
      <c r="O44" s="22">
        <v>1.1050632911392405E-11</v>
      </c>
      <c r="P44" s="34">
        <f t="shared" si="16"/>
        <v>81.04841990227203</v>
      </c>
      <c r="Q44" s="14">
        <f t="shared" si="9"/>
        <v>82.291325579447701</v>
      </c>
      <c r="R44" s="14">
        <f t="shared" si="10"/>
        <v>77.78070479233898</v>
      </c>
      <c r="S44" s="22">
        <v>0.30730000000000002</v>
      </c>
      <c r="T44" s="16">
        <v>48.338000000000001</v>
      </c>
      <c r="V44" s="49">
        <f t="shared" si="11"/>
        <v>1.0031411653990694E-10</v>
      </c>
      <c r="W44" s="8">
        <f t="shared" si="12"/>
        <v>1.1556925868652872</v>
      </c>
      <c r="X44" s="8">
        <f t="shared" si="17"/>
        <v>1.2612487459419885</v>
      </c>
      <c r="Y44" s="50">
        <f t="shared" si="18"/>
        <v>1.0947639114776461E-10</v>
      </c>
      <c r="Z44" s="57">
        <f t="shared" si="13"/>
        <v>1.0031411653990694E-10</v>
      </c>
      <c r="AA44" s="8">
        <f>Z44/N44</f>
        <v>1.1556925868652872</v>
      </c>
      <c r="AB44" s="8">
        <f t="shared" si="19"/>
        <v>1.2612487459419883</v>
      </c>
      <c r="AC44" s="50">
        <f t="shared" si="20"/>
        <v>1.0947639114776458E-10</v>
      </c>
      <c r="AD44" s="57">
        <f t="shared" si="14"/>
        <v>1.0031411653990694E-10</v>
      </c>
      <c r="AE44" s="8">
        <f>AD44/N44</f>
        <v>1.1556925868652872</v>
      </c>
      <c r="AF44" s="8">
        <f t="shared" si="21"/>
        <v>1.2612487459419883</v>
      </c>
      <c r="AG44" s="50">
        <f t="shared" si="22"/>
        <v>1.0947639114776458E-10</v>
      </c>
      <c r="AH44" s="49">
        <f t="shared" si="15"/>
        <v>1.0574632848059967E-10</v>
      </c>
      <c r="AI44" s="8">
        <f>AH44/N44</f>
        <v>1.2182756737396276</v>
      </c>
      <c r="AJ44" s="8">
        <f t="shared" si="23"/>
        <v>1.3351011426703998</v>
      </c>
      <c r="AK44" s="50">
        <f t="shared" si="24"/>
        <v>1.158867791837907E-10</v>
      </c>
      <c r="AM44" s="35">
        <f t="shared" si="25"/>
        <v>-4.8031381323786038E-2</v>
      </c>
      <c r="AN44" s="35">
        <f t="shared" si="26"/>
        <v>-4.803138132378626E-2</v>
      </c>
      <c r="AO44" s="35">
        <f t="shared" si="27"/>
        <v>-4.803138132378626E-2</v>
      </c>
    </row>
    <row r="45" spans="1:41" s="22" customFormat="1">
      <c r="A45" s="22">
        <f t="shared" si="4"/>
        <v>1974</v>
      </c>
      <c r="B45" s="23"/>
      <c r="C45" s="24">
        <v>1.28E-10</v>
      </c>
      <c r="D45" s="25"/>
      <c r="E45" s="22">
        <v>0.41600000000000004</v>
      </c>
      <c r="F45" s="22">
        <v>0.45700000000000002</v>
      </c>
      <c r="G45" s="29" t="s">
        <v>67</v>
      </c>
      <c r="H45" s="33" t="str">
        <f t="shared" si="5"/>
        <v>184751</v>
      </c>
      <c r="I45" s="30">
        <f t="shared" si="6"/>
        <v>64.672573544350229</v>
      </c>
      <c r="J45" s="28">
        <v>9701894.6204459295</v>
      </c>
      <c r="K45" s="30">
        <f t="shared" si="7"/>
        <v>77.756145730145292</v>
      </c>
      <c r="L45" s="30">
        <f t="shared" si="8"/>
        <v>83.173584463404424</v>
      </c>
      <c r="N45" s="22">
        <v>8.68E-11</v>
      </c>
      <c r="O45" s="22">
        <v>1.3721518987341772E-11</v>
      </c>
      <c r="P45" s="34">
        <f t="shared" si="16"/>
        <v>83.173584463404424</v>
      </c>
      <c r="Q45" s="14">
        <f t="shared" si="9"/>
        <v>84.449080277453206</v>
      </c>
      <c r="R45" s="14">
        <f t="shared" si="10"/>
        <v>79.820186839785364</v>
      </c>
      <c r="S45" s="22">
        <v>0.34119999999999995</v>
      </c>
      <c r="T45" s="16">
        <v>47.386000000000003</v>
      </c>
      <c r="V45" s="49">
        <f t="shared" si="11"/>
        <v>1.0716454780686874E-10</v>
      </c>
      <c r="W45" s="8">
        <f t="shared" si="12"/>
        <v>1.2346146060699164</v>
      </c>
      <c r="X45" s="8">
        <f t="shared" si="17"/>
        <v>1.3473791744662746</v>
      </c>
      <c r="Y45" s="50">
        <f t="shared" si="18"/>
        <v>1.1695251234367263E-10</v>
      </c>
      <c r="Z45" s="57">
        <f t="shared" si="13"/>
        <v>1.0716454780686876E-10</v>
      </c>
      <c r="AA45" s="8">
        <f>Z45/N45</f>
        <v>1.2346146060699166</v>
      </c>
      <c r="AB45" s="8">
        <f t="shared" si="19"/>
        <v>1.3473791744662749</v>
      </c>
      <c r="AC45" s="50">
        <f t="shared" si="20"/>
        <v>1.1695251234367265E-10</v>
      </c>
      <c r="AD45" s="57">
        <f t="shared" si="14"/>
        <v>1.0716454780686874E-10</v>
      </c>
      <c r="AE45" s="8">
        <f>AD45/N45</f>
        <v>1.2346146060699164</v>
      </c>
      <c r="AF45" s="8">
        <f t="shared" si="21"/>
        <v>1.3473791744662746</v>
      </c>
      <c r="AG45" s="50">
        <f t="shared" si="22"/>
        <v>1.1695251234367263E-10</v>
      </c>
      <c r="AH45" s="49">
        <f t="shared" si="15"/>
        <v>1.1825891056437054E-10</v>
      </c>
      <c r="AI45" s="8">
        <f>AH45/N45</f>
        <v>1.3624298452116421</v>
      </c>
      <c r="AJ45" s="8">
        <f t="shared" si="23"/>
        <v>1.493078851001564</v>
      </c>
      <c r="AK45" s="50">
        <f t="shared" si="24"/>
        <v>1.2959924426693576E-10</v>
      </c>
      <c r="AM45" s="35">
        <f t="shared" si="25"/>
        <v>-8.630849731505752E-2</v>
      </c>
      <c r="AN45" s="35">
        <f t="shared" si="26"/>
        <v>-8.6308497315057409E-2</v>
      </c>
      <c r="AO45" s="35">
        <f t="shared" si="27"/>
        <v>-8.630849731505752E-2</v>
      </c>
    </row>
    <row r="46" spans="1:41" s="22" customFormat="1">
      <c r="A46" s="22">
        <f t="shared" si="4"/>
        <v>1975</v>
      </c>
      <c r="B46" s="23"/>
      <c r="C46" s="24">
        <v>3.7799999999999999E-10</v>
      </c>
      <c r="D46" s="25"/>
      <c r="E46" s="22">
        <v>0.38700000000000001</v>
      </c>
      <c r="F46" s="22">
        <v>0.48499999999999999</v>
      </c>
      <c r="G46" s="29" t="s">
        <v>68</v>
      </c>
      <c r="H46" s="33" t="str">
        <f t="shared" si="5"/>
        <v>183653</v>
      </c>
      <c r="I46" s="30">
        <f t="shared" si="6"/>
        <v>64.288215756020548</v>
      </c>
      <c r="J46" s="28">
        <v>9811406.2187997121</v>
      </c>
      <c r="K46" s="30">
        <f t="shared" si="7"/>
        <v>78.63382994893621</v>
      </c>
      <c r="L46" s="30">
        <f t="shared" si="8"/>
        <v>81.756434600436577</v>
      </c>
      <c r="N46" s="22">
        <v>2.5699999999999999E-10</v>
      </c>
      <c r="O46" s="22">
        <v>3.8810126582278478E-11</v>
      </c>
      <c r="P46" s="34">
        <f t="shared" si="16"/>
        <v>81.756434600436577</v>
      </c>
      <c r="Q46" s="14">
        <f t="shared" si="9"/>
        <v>83.010197928988219</v>
      </c>
      <c r="R46" s="14">
        <f t="shared" si="10"/>
        <v>78.460173710955502</v>
      </c>
      <c r="S46" s="22">
        <v>0.37229999999999996</v>
      </c>
      <c r="T46" s="16">
        <v>49.201000000000001</v>
      </c>
      <c r="V46" s="49">
        <f t="shared" si="11"/>
        <v>2.9342515640580277E-10</v>
      </c>
      <c r="W46" s="8">
        <f t="shared" si="12"/>
        <v>1.1417321260926179</v>
      </c>
      <c r="X46" s="8">
        <f t="shared" si="17"/>
        <v>1.2460131946869091</v>
      </c>
      <c r="Y46" s="50">
        <f t="shared" si="18"/>
        <v>3.2022539103453564E-10</v>
      </c>
      <c r="Z46" s="57">
        <f t="shared" si="13"/>
        <v>2.9342515640580288E-10</v>
      </c>
      <c r="AA46" s="8">
        <f>Z46/N46</f>
        <v>1.1417321260926183</v>
      </c>
      <c r="AB46" s="8">
        <f t="shared" si="19"/>
        <v>1.2460131946869093</v>
      </c>
      <c r="AC46" s="50">
        <f t="shared" si="20"/>
        <v>3.2022539103453569E-10</v>
      </c>
      <c r="AD46" s="57">
        <f t="shared" si="14"/>
        <v>2.9342515640580277E-10</v>
      </c>
      <c r="AE46" s="8">
        <f>AD46/N46</f>
        <v>1.1417321260926179</v>
      </c>
      <c r="AF46" s="8">
        <f t="shared" si="21"/>
        <v>1.2460131946869089</v>
      </c>
      <c r="AG46" s="50">
        <f t="shared" si="22"/>
        <v>3.2022539103453559E-10</v>
      </c>
      <c r="AH46" s="49">
        <f t="shared" si="15"/>
        <v>3.0654393530707892E-10</v>
      </c>
      <c r="AI46" s="8">
        <f>AH46/N46</f>
        <v>1.1927779583933031</v>
      </c>
      <c r="AJ46" s="8">
        <f t="shared" si="23"/>
        <v>1.3071583464477134</v>
      </c>
      <c r="AK46" s="50">
        <f t="shared" si="24"/>
        <v>3.3593969503706236E-10</v>
      </c>
      <c r="AM46" s="35">
        <f t="shared" si="25"/>
        <v>-0.15284288086101683</v>
      </c>
      <c r="AN46" s="35">
        <f t="shared" si="26"/>
        <v>-0.15284288086101661</v>
      </c>
      <c r="AO46" s="35">
        <f t="shared" si="27"/>
        <v>-0.15284288086101694</v>
      </c>
    </row>
    <row r="47" spans="1:41" s="22" customFormat="1">
      <c r="A47" s="22">
        <f t="shared" si="4"/>
        <v>1976</v>
      </c>
      <c r="B47" s="23"/>
      <c r="C47" s="24">
        <v>2.0200000000000001E-9</v>
      </c>
      <c r="D47" s="25"/>
      <c r="E47" s="22">
        <v>0.38799999999999996</v>
      </c>
      <c r="F47" s="22">
        <v>0.50600000000000001</v>
      </c>
      <c r="G47" s="29" t="s">
        <v>69</v>
      </c>
      <c r="H47" s="33" t="str">
        <f t="shared" si="5"/>
        <v>183631</v>
      </c>
      <c r="I47" s="30">
        <f t="shared" si="6"/>
        <v>64.280514598148741</v>
      </c>
      <c r="J47" s="28">
        <v>9732602.7601330876</v>
      </c>
      <c r="K47" s="30">
        <f t="shared" si="7"/>
        <v>78.00225710096808</v>
      </c>
      <c r="L47" s="30">
        <f t="shared" si="8"/>
        <v>82.408531479983239</v>
      </c>
      <c r="N47" s="22">
        <v>1.8300000000000001E-9</v>
      </c>
      <c r="O47" s="22">
        <v>2.1113924050632913E-10</v>
      </c>
      <c r="P47" s="34">
        <f t="shared" si="16"/>
        <v>82.408531479983239</v>
      </c>
      <c r="Q47" s="14">
        <f t="shared" si="9"/>
        <v>83.672294940735298</v>
      </c>
      <c r="R47" s="14">
        <f t="shared" si="10"/>
        <v>79.085979308957079</v>
      </c>
      <c r="S47" s="22">
        <v>0.39380000000000004</v>
      </c>
      <c r="T47" s="16">
        <v>50.869</v>
      </c>
      <c r="V47" s="49">
        <f t="shared" si="11"/>
        <v>1.5479880505312981E-9</v>
      </c>
      <c r="W47" s="8">
        <f t="shared" si="12"/>
        <v>0.84589510957994429</v>
      </c>
      <c r="X47" s="8">
        <f t="shared" si="17"/>
        <v>0.92315565426442125</v>
      </c>
      <c r="Y47" s="50">
        <f t="shared" si="18"/>
        <v>1.6893748473038911E-9</v>
      </c>
      <c r="Z47" s="57">
        <f t="shared" si="13"/>
        <v>1.5479880505312983E-9</v>
      </c>
      <c r="AA47" s="8">
        <f>Z47/N47</f>
        <v>0.8458951095799444</v>
      </c>
      <c r="AB47" s="8">
        <f t="shared" si="19"/>
        <v>0.92315565426442125</v>
      </c>
      <c r="AC47" s="50">
        <f t="shared" si="20"/>
        <v>1.6893748473038911E-9</v>
      </c>
      <c r="AD47" s="57">
        <f t="shared" si="14"/>
        <v>1.5479880505312981E-9</v>
      </c>
      <c r="AE47" s="8">
        <f>AD47/N47</f>
        <v>0.84589510957994429</v>
      </c>
      <c r="AF47" s="8">
        <f t="shared" si="21"/>
        <v>0.92315565426442114</v>
      </c>
      <c r="AG47" s="50">
        <f t="shared" si="22"/>
        <v>1.6893748473038908E-9</v>
      </c>
      <c r="AH47" s="49">
        <f t="shared" si="15"/>
        <v>1.5766451116534007E-9</v>
      </c>
      <c r="AI47" s="8">
        <f>AH47/N47</f>
        <v>0.86155470582153038</v>
      </c>
      <c r="AJ47" s="8">
        <f t="shared" si="23"/>
        <v>0.94417273283027225</v>
      </c>
      <c r="AK47" s="50">
        <f t="shared" si="24"/>
        <v>1.7278361010793982E-9</v>
      </c>
      <c r="AM47" s="35">
        <f t="shared" si="25"/>
        <v>-0.16367581816639054</v>
      </c>
      <c r="AN47" s="35">
        <f t="shared" si="26"/>
        <v>-0.16367581816639054</v>
      </c>
      <c r="AO47" s="35">
        <f t="shared" si="27"/>
        <v>-0.16367581816639065</v>
      </c>
    </row>
    <row r="48" spans="1:41" s="22" customFormat="1">
      <c r="A48" s="22">
        <f t="shared" si="4"/>
        <v>1977</v>
      </c>
      <c r="B48" s="23"/>
      <c r="C48" s="24">
        <v>4.8699999999999999E-9</v>
      </c>
      <c r="D48" s="25"/>
      <c r="E48" s="22">
        <v>0.43700000000000006</v>
      </c>
      <c r="F48" s="22">
        <v>0.52900000000000003</v>
      </c>
      <c r="G48" s="29" t="s">
        <v>70</v>
      </c>
      <c r="H48" s="33" t="str">
        <f t="shared" si="5"/>
        <v>195367</v>
      </c>
      <c r="I48" s="30">
        <f t="shared" si="6"/>
        <v>68.388732270131541</v>
      </c>
      <c r="J48" s="28">
        <v>9911434.7608601972</v>
      </c>
      <c r="K48" s="30">
        <f t="shared" si="7"/>
        <v>79.43551190879154</v>
      </c>
      <c r="L48" s="30">
        <f t="shared" si="8"/>
        <v>86.09339906899072</v>
      </c>
      <c r="N48" s="22">
        <v>4.0499999999999999E-9</v>
      </c>
      <c r="O48" s="22">
        <v>5.8303797468354423E-10</v>
      </c>
      <c r="P48" s="34">
        <f t="shared" si="16"/>
        <v>86.09339906899072</v>
      </c>
      <c r="Q48" s="14">
        <f t="shared" si="9"/>
        <v>87.413671254422923</v>
      </c>
      <c r="R48" s="14">
        <f t="shared" si="10"/>
        <v>82.622280182990707</v>
      </c>
      <c r="S48" s="22">
        <v>0.4194</v>
      </c>
      <c r="T48" s="16">
        <v>52.232999999999997</v>
      </c>
      <c r="V48" s="49">
        <f t="shared" si="11"/>
        <v>3.9449078908944375E-9</v>
      </c>
      <c r="W48" s="8">
        <f t="shared" si="12"/>
        <v>0.97405133108504638</v>
      </c>
      <c r="X48" s="8">
        <f t="shared" si="17"/>
        <v>1.0630171325632476</v>
      </c>
      <c r="Y48" s="50">
        <f t="shared" si="18"/>
        <v>4.3052193868811528E-9</v>
      </c>
      <c r="Z48" s="57">
        <f t="shared" si="13"/>
        <v>3.9449078908944383E-9</v>
      </c>
      <c r="AA48" s="8">
        <f>Z48/N48</f>
        <v>0.97405133108504649</v>
      </c>
      <c r="AB48" s="8">
        <f t="shared" si="19"/>
        <v>1.0630171325632476</v>
      </c>
      <c r="AC48" s="50">
        <f t="shared" si="20"/>
        <v>4.3052193868811528E-9</v>
      </c>
      <c r="AD48" s="57">
        <f t="shared" si="14"/>
        <v>3.9449078908944375E-9</v>
      </c>
      <c r="AE48" s="8">
        <f>AD48/N48</f>
        <v>0.97405133108504638</v>
      </c>
      <c r="AF48" s="8">
        <f t="shared" si="21"/>
        <v>1.0630171325632474</v>
      </c>
      <c r="AG48" s="50">
        <f t="shared" si="22"/>
        <v>4.305219386881152E-9</v>
      </c>
      <c r="AH48" s="49">
        <f t="shared" si="15"/>
        <v>4.0879833814317892E-9</v>
      </c>
      <c r="AI48" s="8">
        <f>AH48/N48</f>
        <v>1.0093786126992073</v>
      </c>
      <c r="AJ48" s="8">
        <f t="shared" si="23"/>
        <v>1.1061720826002401</v>
      </c>
      <c r="AK48" s="50">
        <f t="shared" si="24"/>
        <v>4.4799969345309724E-9</v>
      </c>
      <c r="AM48" s="35">
        <f t="shared" si="25"/>
        <v>-0.11597137846382899</v>
      </c>
      <c r="AN48" s="35">
        <f t="shared" si="26"/>
        <v>-0.11597137846382899</v>
      </c>
      <c r="AO48" s="35">
        <f t="shared" si="27"/>
        <v>-0.1159713784638291</v>
      </c>
    </row>
    <row r="49" spans="1:41" s="22" customFormat="1">
      <c r="A49" s="22">
        <f t="shared" si="4"/>
        <v>1978</v>
      </c>
      <c r="B49" s="23"/>
      <c r="C49" s="24">
        <v>1.28E-8</v>
      </c>
      <c r="D49" s="25"/>
      <c r="E49" s="22">
        <v>0.43099999999999999</v>
      </c>
      <c r="F49" s="22">
        <v>0.53400000000000003</v>
      </c>
      <c r="G49" s="29" t="s">
        <v>71</v>
      </c>
      <c r="H49" s="33" t="str">
        <f t="shared" si="5"/>
        <v>189063</v>
      </c>
      <c r="I49" s="30">
        <f t="shared" si="6"/>
        <v>66.182000487225991</v>
      </c>
      <c r="J49" s="28">
        <v>10148369.693007769</v>
      </c>
      <c r="K49" s="30">
        <f t="shared" si="7"/>
        <v>81.33443452477249</v>
      </c>
      <c r="L49" s="30">
        <f t="shared" si="8"/>
        <v>81.37021038373183</v>
      </c>
      <c r="N49" s="22">
        <v>7.8999999999999996E-9</v>
      </c>
      <c r="O49" s="22">
        <v>1.6056962025316454E-9</v>
      </c>
      <c r="P49" s="34">
        <f t="shared" si="16"/>
        <v>81.37021038373183</v>
      </c>
      <c r="Q49" s="14">
        <f t="shared" si="9"/>
        <v>82.618050829737669</v>
      </c>
      <c r="R49" s="14">
        <f t="shared" si="10"/>
        <v>78.089521305647821</v>
      </c>
      <c r="S49" s="22">
        <v>0.45119999999999999</v>
      </c>
      <c r="T49" s="16">
        <v>52.901000000000003</v>
      </c>
      <c r="V49" s="49">
        <f t="shared" si="11"/>
        <v>1.0821465212212098E-8</v>
      </c>
      <c r="W49" s="8">
        <f t="shared" si="12"/>
        <v>1.3698057230648226</v>
      </c>
      <c r="X49" s="8">
        <f t="shared" si="17"/>
        <v>1.4949180863795322</v>
      </c>
      <c r="Y49" s="50">
        <f t="shared" si="18"/>
        <v>1.1809852882398304E-8</v>
      </c>
      <c r="Z49" s="57">
        <f t="shared" si="13"/>
        <v>1.0821465212212098E-8</v>
      </c>
      <c r="AA49" s="8">
        <f>Z49/N49</f>
        <v>1.3698057230648226</v>
      </c>
      <c r="AB49" s="8">
        <f t="shared" si="19"/>
        <v>1.4949180863795319</v>
      </c>
      <c r="AC49" s="50">
        <f t="shared" si="20"/>
        <v>1.1809852882398302E-8</v>
      </c>
      <c r="AD49" s="57">
        <f t="shared" si="14"/>
        <v>1.0821465212212098E-8</v>
      </c>
      <c r="AE49" s="8">
        <f>AD49/N49</f>
        <v>1.3698057230648226</v>
      </c>
      <c r="AF49" s="8">
        <f t="shared" si="21"/>
        <v>1.4949180863795319</v>
      </c>
      <c r="AG49" s="50">
        <f t="shared" si="22"/>
        <v>1.1809852882398302E-8</v>
      </c>
      <c r="AH49" s="49">
        <f t="shared" si="15"/>
        <v>1.0464897880144225E-8</v>
      </c>
      <c r="AI49" s="8">
        <f>AH49/N49</f>
        <v>1.3246706177397753</v>
      </c>
      <c r="AJ49" s="8">
        <f t="shared" si="23"/>
        <v>1.4516987357856912</v>
      </c>
      <c r="AK49" s="50">
        <f t="shared" si="24"/>
        <v>1.146842001270696E-8</v>
      </c>
      <c r="AM49" s="35">
        <f t="shared" si="25"/>
        <v>-7.735524356263257E-2</v>
      </c>
      <c r="AN49" s="35">
        <f t="shared" si="26"/>
        <v>-7.7355243562632681E-2</v>
      </c>
      <c r="AO49" s="35">
        <f t="shared" si="27"/>
        <v>-7.7355243562632681E-2</v>
      </c>
    </row>
    <row r="50" spans="1:41" s="22" customFormat="1">
      <c r="A50" s="22">
        <f t="shared" si="4"/>
        <v>1979</v>
      </c>
      <c r="B50" s="23"/>
      <c r="C50" s="24">
        <v>2.4900000000000001E-8</v>
      </c>
      <c r="D50" s="25"/>
      <c r="E50" s="22">
        <v>0.51</v>
      </c>
      <c r="F50" s="22">
        <v>0.52900000000000003</v>
      </c>
      <c r="G50" s="29" t="s">
        <v>72</v>
      </c>
      <c r="H50" s="33" t="str">
        <f t="shared" si="5"/>
        <v>202171</v>
      </c>
      <c r="I50" s="30">
        <f t="shared" si="6"/>
        <v>70.770490368305616</v>
      </c>
      <c r="J50" s="28">
        <v>10251041.381443374</v>
      </c>
      <c r="K50" s="30">
        <f t="shared" si="7"/>
        <v>82.157300066059108</v>
      </c>
      <c r="L50" s="30">
        <f t="shared" si="8"/>
        <v>86.140233809292837</v>
      </c>
      <c r="N50" s="22">
        <v>1.31E-8</v>
      </c>
      <c r="O50" s="22">
        <v>4.1664556962025317E-9</v>
      </c>
      <c r="P50" s="34">
        <f t="shared" si="16"/>
        <v>86.140233809292837</v>
      </c>
      <c r="Q50" s="14">
        <f t="shared" si="9"/>
        <v>87.461224221738973</v>
      </c>
      <c r="R50" s="14">
        <f t="shared" si="10"/>
        <v>82.667226637392375</v>
      </c>
      <c r="S50" s="22">
        <v>0.50240000000000007</v>
      </c>
      <c r="T50" s="16">
        <v>52.451000000000001</v>
      </c>
      <c r="V50" s="49">
        <f t="shared" si="11"/>
        <v>2.3618820160236846E-8</v>
      </c>
      <c r="W50" s="8">
        <f t="shared" si="12"/>
        <v>1.8029633710104462</v>
      </c>
      <c r="X50" s="8">
        <f t="shared" si="17"/>
        <v>1.9676385541541348</v>
      </c>
      <c r="Y50" s="50">
        <f t="shared" si="18"/>
        <v>2.5776065059419166E-8</v>
      </c>
      <c r="Z50" s="57">
        <f t="shared" si="13"/>
        <v>2.3618820160236849E-8</v>
      </c>
      <c r="AA50" s="8">
        <f>Z50/N50</f>
        <v>1.8029633710104465</v>
      </c>
      <c r="AB50" s="8">
        <f t="shared" si="19"/>
        <v>1.9676385541541348</v>
      </c>
      <c r="AC50" s="50">
        <f t="shared" si="20"/>
        <v>2.5776065059419166E-8</v>
      </c>
      <c r="AD50" s="57">
        <f t="shared" si="14"/>
        <v>2.3618820160236846E-8</v>
      </c>
      <c r="AE50" s="8">
        <f>AD50/N50</f>
        <v>1.8029633710104462</v>
      </c>
      <c r="AF50" s="8">
        <f t="shared" si="21"/>
        <v>1.9676385541541346</v>
      </c>
      <c r="AG50" s="50">
        <f t="shared" si="22"/>
        <v>2.5776065059419162E-8</v>
      </c>
      <c r="AH50" s="49">
        <f t="shared" si="15"/>
        <v>2.4386969933000537E-8</v>
      </c>
      <c r="AI50" s="8">
        <f>AH50/N50</f>
        <v>1.8616007582443157</v>
      </c>
      <c r="AJ50" s="8">
        <f t="shared" si="23"/>
        <v>2.0401173175351928</v>
      </c>
      <c r="AK50" s="50">
        <f t="shared" si="24"/>
        <v>2.6725536859711024E-8</v>
      </c>
      <c r="AM50" s="35">
        <f t="shared" si="25"/>
        <v>3.5183335719645159E-2</v>
      </c>
      <c r="AN50" s="35">
        <f t="shared" si="26"/>
        <v>3.5183335719645159E-2</v>
      </c>
      <c r="AO50" s="35">
        <f t="shared" si="27"/>
        <v>3.5183335719644937E-2</v>
      </c>
    </row>
    <row r="51" spans="1:41" s="22" customFormat="1">
      <c r="A51" s="22">
        <f t="shared" si="4"/>
        <v>1980</v>
      </c>
      <c r="B51" s="23"/>
      <c r="C51" s="24">
        <v>4.21E-8</v>
      </c>
      <c r="D51" s="25"/>
      <c r="E51" s="22">
        <v>0.54100000000000004</v>
      </c>
      <c r="F51" s="22">
        <v>0.53600000000000003</v>
      </c>
      <c r="G51" s="29" t="s">
        <v>73</v>
      </c>
      <c r="H51" s="33" t="str">
        <f t="shared" si="5"/>
        <v>205418</v>
      </c>
      <c r="I51" s="30">
        <f t="shared" si="6"/>
        <v>71.907111259659402</v>
      </c>
      <c r="J51" s="28">
        <v>10458171.84649102</v>
      </c>
      <c r="K51" s="30">
        <f t="shared" si="7"/>
        <v>83.817353824162836</v>
      </c>
      <c r="L51" s="30">
        <f t="shared" si="8"/>
        <v>85.790242687105746</v>
      </c>
      <c r="N51" s="22">
        <v>1.8299999999999998E-8</v>
      </c>
      <c r="O51" s="22">
        <v>8.3670886075949357E-9</v>
      </c>
      <c r="P51" s="34">
        <f t="shared" si="16"/>
        <v>85.790242687105746</v>
      </c>
      <c r="Q51" s="14">
        <f t="shared" si="9"/>
        <v>87.105865864098661</v>
      </c>
      <c r="R51" s="14">
        <f t="shared" si="10"/>
        <v>82.331346478499725</v>
      </c>
      <c r="S51" s="22">
        <v>0.57020000000000004</v>
      </c>
      <c r="T51" s="16">
        <v>52.317999999999998</v>
      </c>
      <c r="V51" s="49">
        <f t="shared" si="11"/>
        <v>4.1855615034848915E-8</v>
      </c>
      <c r="W51" s="8">
        <f t="shared" si="12"/>
        <v>2.2871920784070445</v>
      </c>
      <c r="X51" s="8">
        <f t="shared" si="17"/>
        <v>2.4960946997539155</v>
      </c>
      <c r="Y51" s="50">
        <f t="shared" si="18"/>
        <v>4.567853300549665E-8</v>
      </c>
      <c r="Z51" s="57">
        <f t="shared" si="13"/>
        <v>4.1855615034848915E-8</v>
      </c>
      <c r="AA51" s="8">
        <f>Z51/N51</f>
        <v>2.2871920784070445</v>
      </c>
      <c r="AB51" s="8">
        <f t="shared" si="19"/>
        <v>2.4960946997539155</v>
      </c>
      <c r="AC51" s="50">
        <f t="shared" si="20"/>
        <v>4.567853300549665E-8</v>
      </c>
      <c r="AD51" s="57">
        <f t="shared" si="14"/>
        <v>4.1855615034848908E-8</v>
      </c>
      <c r="AE51" s="8">
        <f>AD51/N51</f>
        <v>2.2871920784070445</v>
      </c>
      <c r="AF51" s="8">
        <f t="shared" si="21"/>
        <v>2.4960946997539155</v>
      </c>
      <c r="AG51" s="50">
        <f t="shared" si="22"/>
        <v>4.567853300549665E-8</v>
      </c>
      <c r="AH51" s="49">
        <f t="shared" si="15"/>
        <v>4.3150701521341448E-8</v>
      </c>
      <c r="AI51" s="8">
        <f>AH51/N51</f>
        <v>2.3579618317672923</v>
      </c>
      <c r="AJ51" s="8">
        <f t="shared" si="23"/>
        <v>2.5840764974828869</v>
      </c>
      <c r="AK51" s="50">
        <f t="shared" si="24"/>
        <v>4.7288599903936828E-8</v>
      </c>
      <c r="AM51" s="35">
        <f t="shared" si="25"/>
        <v>8.5000783978542716E-2</v>
      </c>
      <c r="AN51" s="35">
        <f t="shared" si="26"/>
        <v>8.5000783978542716E-2</v>
      </c>
      <c r="AO51" s="35">
        <f t="shared" si="27"/>
        <v>8.5000783978542716E-2</v>
      </c>
    </row>
    <row r="52" spans="1:41" s="22" customFormat="1">
      <c r="A52" s="22">
        <f t="shared" si="4"/>
        <v>1981</v>
      </c>
      <c r="B52" s="23"/>
      <c r="C52" s="24">
        <v>8.2599999999999998E-8</v>
      </c>
      <c r="D52" s="25"/>
      <c r="E52" s="22">
        <v>0.51900000000000002</v>
      </c>
      <c r="F52" s="22">
        <v>0.54600000000000004</v>
      </c>
      <c r="G52" s="29" t="s">
        <v>74</v>
      </c>
      <c r="H52" s="33" t="str">
        <f t="shared" si="5"/>
        <v>193720</v>
      </c>
      <c r="I52" s="30">
        <f t="shared" si="6"/>
        <v>67.812195587637021</v>
      </c>
      <c r="J52" s="28">
        <v>10366765.021916432</v>
      </c>
      <c r="K52" s="30">
        <f t="shared" si="7"/>
        <v>83.084770895734266</v>
      </c>
      <c r="L52" s="30">
        <f t="shared" si="8"/>
        <v>81.618080975076296</v>
      </c>
      <c r="N52" s="22">
        <v>4.4099999999999998E-8</v>
      </c>
      <c r="O52" s="22">
        <v>1.7107594936708861E-8</v>
      </c>
      <c r="P52" s="34">
        <f t="shared" si="16"/>
        <v>81.618080975076296</v>
      </c>
      <c r="Q52" s="14">
        <f t="shared" si="9"/>
        <v>82.86972260271601</v>
      </c>
      <c r="R52" s="14">
        <f t="shared" si="10"/>
        <v>78.327398235454893</v>
      </c>
      <c r="S52" s="22">
        <v>0.62909999999999999</v>
      </c>
      <c r="T52" s="16">
        <v>53.612000000000002</v>
      </c>
      <c r="V52" s="49">
        <f t="shared" si="11"/>
        <v>8.3548419505890864E-8</v>
      </c>
      <c r="W52" s="8">
        <f t="shared" si="12"/>
        <v>1.8945219842605638</v>
      </c>
      <c r="X52" s="8">
        <f t="shared" si="17"/>
        <v>2.0675597507200161</v>
      </c>
      <c r="Y52" s="50">
        <f t="shared" si="18"/>
        <v>9.1179385006752698E-8</v>
      </c>
      <c r="Z52" s="57">
        <f t="shared" si="13"/>
        <v>8.3548419505890864E-8</v>
      </c>
      <c r="AA52" s="8">
        <f>Z52/N52</f>
        <v>1.8945219842605638</v>
      </c>
      <c r="AB52" s="8">
        <f t="shared" si="19"/>
        <v>2.0675597507200161</v>
      </c>
      <c r="AC52" s="50">
        <f t="shared" si="20"/>
        <v>9.1179385006752698E-8</v>
      </c>
      <c r="AD52" s="57">
        <f t="shared" si="14"/>
        <v>8.3548419505890851E-8</v>
      </c>
      <c r="AE52" s="8">
        <f>AD52/N52</f>
        <v>1.8945219842605636</v>
      </c>
      <c r="AF52" s="8">
        <f t="shared" si="21"/>
        <v>2.0675597507200156</v>
      </c>
      <c r="AG52" s="50">
        <f t="shared" si="22"/>
        <v>9.1179385006752685E-8</v>
      </c>
      <c r="AH52" s="49">
        <f t="shared" si="15"/>
        <v>7.9966848169128149E-8</v>
      </c>
      <c r="AI52" s="8">
        <f>AH52/N52</f>
        <v>1.8133072147194593</v>
      </c>
      <c r="AJ52" s="8">
        <f t="shared" si="23"/>
        <v>1.9871927073394395</v>
      </c>
      <c r="AK52" s="50">
        <f t="shared" si="24"/>
        <v>8.7635198393669276E-8</v>
      </c>
      <c r="AM52" s="35">
        <f t="shared" si="25"/>
        <v>0.10386664657085598</v>
      </c>
      <c r="AN52" s="35">
        <f t="shared" si="26"/>
        <v>0.10386664657085598</v>
      </c>
      <c r="AO52" s="35">
        <f t="shared" si="27"/>
        <v>0.10386664657085576</v>
      </c>
    </row>
    <row r="53" spans="1:41" s="22" customFormat="1">
      <c r="A53" s="22">
        <f t="shared" si="4"/>
        <v>1982</v>
      </c>
      <c r="B53" s="23"/>
      <c r="C53" s="24">
        <v>2.0800000000000001E-7</v>
      </c>
      <c r="D53" s="25"/>
      <c r="E53" s="22">
        <v>0.54299999999999993</v>
      </c>
      <c r="F53" s="22">
        <v>0.57799999999999996</v>
      </c>
      <c r="G53" s="29" t="s">
        <v>75</v>
      </c>
      <c r="H53" s="33" t="str">
        <f t="shared" si="5"/>
        <v>187640</v>
      </c>
      <c r="I53" s="30">
        <f t="shared" si="6"/>
        <v>65.683875593971763</v>
      </c>
      <c r="J53" s="28">
        <v>10439190.156317916</v>
      </c>
      <c r="K53" s="30">
        <f t="shared" si="7"/>
        <v>83.665224459224774</v>
      </c>
      <c r="L53" s="30">
        <f t="shared" si="8"/>
        <v>78.507977500237942</v>
      </c>
      <c r="N53" s="22">
        <v>2.16E-7</v>
      </c>
      <c r="O53" s="22">
        <v>4.529113924050633E-8</v>
      </c>
      <c r="P53" s="34">
        <f t="shared" si="16"/>
        <v>78.507977500237942</v>
      </c>
      <c r="Q53" s="14">
        <f t="shared" si="9"/>
        <v>79.711924610573789</v>
      </c>
      <c r="R53" s="14">
        <f t="shared" si="10"/>
        <v>75.342688101170722</v>
      </c>
      <c r="S53" s="22">
        <v>0.66780000000000006</v>
      </c>
      <c r="T53" s="16">
        <v>53.933</v>
      </c>
      <c r="V53" s="49">
        <f t="shared" si="11"/>
        <v>2.1792193919048739E-7</v>
      </c>
      <c r="W53" s="8">
        <f t="shared" si="12"/>
        <v>1.0088978666226267</v>
      </c>
      <c r="X53" s="8">
        <f t="shared" si="17"/>
        <v>1.1010464058723435</v>
      </c>
      <c r="Y53" s="50">
        <f t="shared" si="18"/>
        <v>2.3782602366842618E-7</v>
      </c>
      <c r="Z53" s="57">
        <f t="shared" si="13"/>
        <v>2.1792193919048739E-7</v>
      </c>
      <c r="AA53" s="8">
        <f>Z53/N53</f>
        <v>1.0088978666226267</v>
      </c>
      <c r="AB53" s="8">
        <f t="shared" si="19"/>
        <v>1.1010464058723433</v>
      </c>
      <c r="AC53" s="50">
        <f t="shared" si="20"/>
        <v>2.3782602366842616E-7</v>
      </c>
      <c r="AD53" s="57">
        <f t="shared" si="14"/>
        <v>2.1792193919048739E-7</v>
      </c>
      <c r="AE53" s="8">
        <f>AD53/N53</f>
        <v>1.0088978666226267</v>
      </c>
      <c r="AF53" s="8">
        <f t="shared" si="21"/>
        <v>1.1010464058723433</v>
      </c>
      <c r="AG53" s="50">
        <f t="shared" si="22"/>
        <v>2.3782602366842616E-7</v>
      </c>
      <c r="AH53" s="49">
        <f t="shared" si="15"/>
        <v>1.994378279316774E-7</v>
      </c>
      <c r="AI53" s="8">
        <f>AH53/N53</f>
        <v>0.92332327746146947</v>
      </c>
      <c r="AJ53" s="8">
        <f t="shared" si="23"/>
        <v>1.0118645470519738</v>
      </c>
      <c r="AK53" s="50">
        <f t="shared" si="24"/>
        <v>2.1856274216322636E-7</v>
      </c>
      <c r="AM53" s="35">
        <f t="shared" si="25"/>
        <v>0.1433943445597412</v>
      </c>
      <c r="AN53" s="35">
        <f t="shared" si="26"/>
        <v>0.14339434455974098</v>
      </c>
      <c r="AO53" s="35">
        <f t="shared" si="27"/>
        <v>0.14339434455974098</v>
      </c>
    </row>
    <row r="54" spans="1:41" s="22" customFormat="1">
      <c r="A54" s="22">
        <f t="shared" si="4"/>
        <v>1983</v>
      </c>
      <c r="B54" s="23"/>
      <c r="C54" s="24">
        <v>9.02E-7</v>
      </c>
      <c r="D54" s="25"/>
      <c r="E54" s="22">
        <v>0.57299999999999995</v>
      </c>
      <c r="F54" s="22">
        <v>0.61299999999999999</v>
      </c>
      <c r="G54" s="29" t="s">
        <v>76</v>
      </c>
      <c r="H54" s="33" t="str">
        <f t="shared" si="5"/>
        <v>195319</v>
      </c>
      <c r="I54" s="30">
        <f t="shared" si="6"/>
        <v>68.371929743865749</v>
      </c>
      <c r="J54" s="28">
        <v>10362794.839446351</v>
      </c>
      <c r="K54" s="30">
        <f t="shared" si="7"/>
        <v>83.052951740940699</v>
      </c>
      <c r="L54" s="30">
        <f t="shared" si="8"/>
        <v>82.323298944427535</v>
      </c>
      <c r="N54" s="22">
        <v>1.0529999999999999E-6</v>
      </c>
      <c r="O54" s="22">
        <v>2.0101265822784808E-7</v>
      </c>
      <c r="P54" s="34">
        <f t="shared" si="16"/>
        <v>82.323298944427535</v>
      </c>
      <c r="Q54" s="14">
        <f t="shared" si="9"/>
        <v>83.585755334635238</v>
      </c>
      <c r="R54" s="14">
        <f t="shared" si="10"/>
        <v>79.004183183940029</v>
      </c>
      <c r="S54" s="22">
        <v>0.68930000000000002</v>
      </c>
      <c r="T54" s="16">
        <v>55.7</v>
      </c>
      <c r="V54" s="49">
        <f t="shared" si="11"/>
        <v>9.2287077551373899E-7</v>
      </c>
      <c r="W54" s="8">
        <f t="shared" si="12"/>
        <v>0.87642048956670382</v>
      </c>
      <c r="X54" s="8">
        <f t="shared" si="17"/>
        <v>0.95646909562873006</v>
      </c>
      <c r="Y54" s="50">
        <f t="shared" si="18"/>
        <v>1.0071619576970527E-6</v>
      </c>
      <c r="Z54" s="57">
        <f t="shared" si="13"/>
        <v>9.2287077551373889E-7</v>
      </c>
      <c r="AA54" s="8">
        <f>Z54/N54</f>
        <v>0.87642048956670371</v>
      </c>
      <c r="AB54" s="8">
        <f t="shared" si="19"/>
        <v>0.95646909562872984</v>
      </c>
      <c r="AC54" s="50">
        <f t="shared" si="20"/>
        <v>1.0071619576970525E-6</v>
      </c>
      <c r="AD54" s="57">
        <f t="shared" si="14"/>
        <v>9.2287077551373889E-7</v>
      </c>
      <c r="AE54" s="8">
        <f>AD54/N54</f>
        <v>0.87642048956670371</v>
      </c>
      <c r="AF54" s="8">
        <f t="shared" si="21"/>
        <v>0.95646909562872984</v>
      </c>
      <c r="AG54" s="50">
        <f t="shared" si="22"/>
        <v>1.0071619576970525E-6</v>
      </c>
      <c r="AH54" s="49">
        <f t="shared" si="15"/>
        <v>8.5754285688896634E-7</v>
      </c>
      <c r="AI54" s="8">
        <f>AH54/N54</f>
        <v>0.81438068080623593</v>
      </c>
      <c r="AJ54" s="8">
        <f t="shared" si="23"/>
        <v>0.89247499638204186</v>
      </c>
      <c r="AK54" s="50">
        <f t="shared" si="24"/>
        <v>9.3977617119029002E-7</v>
      </c>
      <c r="AM54" s="35">
        <f t="shared" si="25"/>
        <v>0.11658753624950413</v>
      </c>
      <c r="AN54" s="35">
        <f t="shared" si="26"/>
        <v>0.11658753624950391</v>
      </c>
      <c r="AO54" s="35">
        <f t="shared" si="27"/>
        <v>0.11658753624950391</v>
      </c>
    </row>
    <row r="55" spans="1:41" s="22" customFormat="1">
      <c r="A55" s="22">
        <f t="shared" si="4"/>
        <v>1984</v>
      </c>
      <c r="B55" s="23"/>
      <c r="C55" s="24">
        <v>6.5899999999999996E-6</v>
      </c>
      <c r="D55" s="25"/>
      <c r="E55" s="22">
        <v>0.56899999999999995</v>
      </c>
      <c r="F55" s="22">
        <v>0.63800000000000001</v>
      </c>
      <c r="G55" s="29" t="s">
        <v>77</v>
      </c>
      <c r="H55" s="33" t="str">
        <f t="shared" si="5"/>
        <v>199226</v>
      </c>
      <c r="I55" s="30">
        <f t="shared" si="6"/>
        <v>69.739585371374005</v>
      </c>
      <c r="J55" s="28">
        <v>10671928.006605089</v>
      </c>
      <c r="K55" s="30">
        <f t="shared" si="7"/>
        <v>85.530509427968155</v>
      </c>
      <c r="L55" s="30">
        <f t="shared" si="8"/>
        <v>81.537670987575609</v>
      </c>
      <c r="N55" s="22">
        <v>6.7700000000000004E-6</v>
      </c>
      <c r="O55" s="22">
        <v>1.4607594936708861E-6</v>
      </c>
      <c r="P55" s="34">
        <f t="shared" si="16"/>
        <v>81.537670987575609</v>
      </c>
      <c r="Q55" s="14">
        <f t="shared" si="9"/>
        <v>82.788079500120844</v>
      </c>
      <c r="R55" s="14">
        <f t="shared" si="10"/>
        <v>78.250230222707842</v>
      </c>
      <c r="S55" s="22">
        <v>0.71900000000000008</v>
      </c>
      <c r="T55" s="16">
        <v>57.003</v>
      </c>
      <c r="V55" s="49">
        <f t="shared" si="11"/>
        <v>6.6432802401865758E-6</v>
      </c>
      <c r="W55" s="8">
        <f t="shared" si="12"/>
        <v>0.98128216250909539</v>
      </c>
      <c r="X55" s="8">
        <f t="shared" si="17"/>
        <v>1.0709083980860596</v>
      </c>
      <c r="Y55" s="50">
        <f t="shared" si="18"/>
        <v>7.2500498550426245E-6</v>
      </c>
      <c r="Z55" s="57">
        <f t="shared" si="13"/>
        <v>6.6432802401865758E-6</v>
      </c>
      <c r="AA55" s="8">
        <f>Z55/N55</f>
        <v>0.98128216250909539</v>
      </c>
      <c r="AB55" s="8">
        <f t="shared" si="19"/>
        <v>1.0709083980860596</v>
      </c>
      <c r="AC55" s="50">
        <f t="shared" si="20"/>
        <v>7.2500498550426245E-6</v>
      </c>
      <c r="AD55" s="57">
        <f t="shared" si="14"/>
        <v>6.6432802401865758E-6</v>
      </c>
      <c r="AE55" s="8">
        <f>AD55/N55</f>
        <v>0.98128216250909539</v>
      </c>
      <c r="AF55" s="8">
        <f t="shared" si="21"/>
        <v>1.0709083980860596</v>
      </c>
      <c r="AG55" s="50">
        <f t="shared" si="22"/>
        <v>7.2500498550426245E-6</v>
      </c>
      <c r="AH55" s="49">
        <f t="shared" si="15"/>
        <v>5.9743482245720972E-6</v>
      </c>
      <c r="AI55" s="8">
        <f>AH55/N55</f>
        <v>0.88247388841537622</v>
      </c>
      <c r="AJ55" s="8">
        <f t="shared" si="23"/>
        <v>0.96709794194902832</v>
      </c>
      <c r="AK55" s="50">
        <f t="shared" si="24"/>
        <v>6.5472530669949221E-6</v>
      </c>
      <c r="AM55" s="35">
        <f t="shared" si="25"/>
        <v>0.10015931032513281</v>
      </c>
      <c r="AN55" s="35">
        <f t="shared" si="26"/>
        <v>0.10015931032513281</v>
      </c>
      <c r="AO55" s="35">
        <f t="shared" si="27"/>
        <v>0.10015931032513281</v>
      </c>
    </row>
    <row r="56" spans="1:41" s="22" customFormat="1">
      <c r="A56" s="22">
        <f t="shared" si="4"/>
        <v>1985</v>
      </c>
      <c r="B56" s="23"/>
      <c r="C56" s="24">
        <v>5.4200000000000003E-5</v>
      </c>
      <c r="D56" s="25"/>
      <c r="E56" s="22">
        <v>0.53700000000000003</v>
      </c>
      <c r="F56" s="22">
        <v>0.66500000000000004</v>
      </c>
      <c r="G56" s="29" t="s">
        <v>78</v>
      </c>
      <c r="H56" s="33" t="str">
        <f t="shared" si="5"/>
        <v>185375</v>
      </c>
      <c r="I56" s="30">
        <f t="shared" si="6"/>
        <v>64.891006385805355</v>
      </c>
      <c r="J56" s="28">
        <v>10702920.284820767</v>
      </c>
      <c r="K56" s="30">
        <f t="shared" si="7"/>
        <v>85.778898036144653</v>
      </c>
      <c r="L56" s="30">
        <f t="shared" si="8"/>
        <v>75.64914899986502</v>
      </c>
      <c r="N56" s="22">
        <v>6.0000000000000002E-5</v>
      </c>
      <c r="O56" s="22">
        <v>1.1278481012658227E-5</v>
      </c>
      <c r="P56" s="34">
        <f t="shared" si="16"/>
        <v>75.64914899986502</v>
      </c>
      <c r="Q56" s="14">
        <f t="shared" si="9"/>
        <v>76.809254981928788</v>
      </c>
      <c r="R56" s="14">
        <f t="shared" si="10"/>
        <v>72.599122021689411</v>
      </c>
      <c r="S56" s="22">
        <v>0.74459999999999993</v>
      </c>
      <c r="T56" s="16">
        <v>58.3</v>
      </c>
      <c r="V56" s="49">
        <f t="shared" si="11"/>
        <v>5.4599092501152791E-5</v>
      </c>
      <c r="W56" s="8">
        <f t="shared" si="12"/>
        <v>0.90998487501921321</v>
      </c>
      <c r="X56" s="8">
        <f t="shared" si="17"/>
        <v>0.99309911259121275</v>
      </c>
      <c r="Y56" s="50">
        <f t="shared" si="18"/>
        <v>5.9585946755472766E-5</v>
      </c>
      <c r="Z56" s="57">
        <f t="shared" si="13"/>
        <v>5.4599092501152785E-5</v>
      </c>
      <c r="AA56" s="8">
        <f>Z56/N56</f>
        <v>0.9099848750192131</v>
      </c>
      <c r="AB56" s="8">
        <f t="shared" si="19"/>
        <v>0.99309911259121253</v>
      </c>
      <c r="AC56" s="50">
        <f t="shared" si="20"/>
        <v>5.9585946755472752E-5</v>
      </c>
      <c r="AD56" s="57">
        <f t="shared" si="14"/>
        <v>5.4599092501152785E-5</v>
      </c>
      <c r="AE56" s="8">
        <f>AD56/N56</f>
        <v>0.9099848750192131</v>
      </c>
      <c r="AF56" s="8">
        <f t="shared" si="21"/>
        <v>0.99309911259121253</v>
      </c>
      <c r="AG56" s="50">
        <f t="shared" si="22"/>
        <v>5.9585946755472752E-5</v>
      </c>
      <c r="AH56" s="49">
        <f t="shared" si="15"/>
        <v>4.4541853613601983E-5</v>
      </c>
      <c r="AI56" s="8">
        <f>AH56/N56</f>
        <v>0.74236422689336634</v>
      </c>
      <c r="AJ56" s="8">
        <f t="shared" si="23"/>
        <v>0.81355258827468635</v>
      </c>
      <c r="AK56" s="50">
        <f t="shared" si="24"/>
        <v>4.8813155296481182E-5</v>
      </c>
      <c r="AM56" s="35">
        <f t="shared" si="25"/>
        <v>9.937171135558609E-2</v>
      </c>
      <c r="AN56" s="35">
        <f t="shared" si="26"/>
        <v>9.9371711355585868E-2</v>
      </c>
      <c r="AO56" s="35">
        <f t="shared" si="27"/>
        <v>9.9371711355585868E-2</v>
      </c>
    </row>
    <row r="57" spans="1:41" s="22" customFormat="1">
      <c r="A57" s="22">
        <f t="shared" si="4"/>
        <v>1986</v>
      </c>
      <c r="B57" s="23"/>
      <c r="C57" s="24">
        <v>9.0400000000000002E-5</v>
      </c>
      <c r="D57" s="25"/>
      <c r="E57" s="22">
        <v>0.629</v>
      </c>
      <c r="F57" s="22">
        <v>0.69599999999999995</v>
      </c>
      <c r="G57" s="29" t="s">
        <v>79</v>
      </c>
      <c r="H57" s="33" t="str">
        <f t="shared" si="5"/>
        <v>199218</v>
      </c>
      <c r="I57" s="30">
        <f t="shared" si="6"/>
        <v>69.736784950329707</v>
      </c>
      <c r="J57" s="28">
        <v>11097504.478721175</v>
      </c>
      <c r="K57" s="30">
        <f t="shared" si="7"/>
        <v>88.941305718771275</v>
      </c>
      <c r="L57" s="30">
        <f t="shared" si="8"/>
        <v>78.407646915859914</v>
      </c>
      <c r="N57" s="22">
        <v>9.4199999999999999E-5</v>
      </c>
      <c r="O57" s="22">
        <v>2.1443037974683542E-5</v>
      </c>
      <c r="P57" s="34">
        <f t="shared" si="16"/>
        <v>78.407646915859914</v>
      </c>
      <c r="Q57" s="14">
        <f t="shared" si="9"/>
        <v>79.610055421827312</v>
      </c>
      <c r="R57" s="14">
        <f t="shared" si="10"/>
        <v>75.246402651379597</v>
      </c>
      <c r="S57" s="22">
        <v>0.75849999999999995</v>
      </c>
      <c r="T57" s="16">
        <v>59.625999999999998</v>
      </c>
      <c r="V57" s="49">
        <f t="shared" si="11"/>
        <v>1.0055445590467556E-4</v>
      </c>
      <c r="W57" s="8">
        <f t="shared" si="12"/>
        <v>1.0674570690517575</v>
      </c>
      <c r="X57" s="8">
        <f t="shared" si="17"/>
        <v>1.1649541625426849</v>
      </c>
      <c r="Y57" s="50">
        <f t="shared" si="18"/>
        <v>1.0973868211152092E-4</v>
      </c>
      <c r="Z57" s="57">
        <f t="shared" si="13"/>
        <v>1.0055445590467553E-4</v>
      </c>
      <c r="AA57" s="8">
        <f>Z57/N57</f>
        <v>1.0674570690517573</v>
      </c>
      <c r="AB57" s="8">
        <f t="shared" si="19"/>
        <v>1.1649541625426845</v>
      </c>
      <c r="AC57" s="50">
        <f t="shared" si="20"/>
        <v>1.0973868211152087E-4</v>
      </c>
      <c r="AD57" s="57">
        <f t="shared" si="14"/>
        <v>1.0055445590467553E-4</v>
      </c>
      <c r="AE57" s="8">
        <f>AD57/N57</f>
        <v>1.0674570690517573</v>
      </c>
      <c r="AF57" s="8">
        <f t="shared" si="21"/>
        <v>1.1649541625426845</v>
      </c>
      <c r="AG57" s="50">
        <f t="shared" si="22"/>
        <v>1.0973868211152087E-4</v>
      </c>
      <c r="AH57" s="49">
        <f t="shared" si="15"/>
        <v>8.3132613701603333E-5</v>
      </c>
      <c r="AI57" s="8">
        <f>AH57/N57</f>
        <v>0.88251182273464257</v>
      </c>
      <c r="AJ57" s="8">
        <f t="shared" si="23"/>
        <v>0.96713951394631148</v>
      </c>
      <c r="AK57" s="50">
        <f t="shared" si="24"/>
        <v>9.1104542213742547E-5</v>
      </c>
      <c r="AM57" s="35">
        <f t="shared" si="25"/>
        <v>0.21392347468496586</v>
      </c>
      <c r="AN57" s="35">
        <f t="shared" si="26"/>
        <v>0.21392347468496542</v>
      </c>
      <c r="AO57" s="35">
        <f t="shared" si="27"/>
        <v>0.21392347468496542</v>
      </c>
    </row>
    <row r="58" spans="1:41" s="22" customFormat="1">
      <c r="A58" s="22">
        <f t="shared" si="4"/>
        <v>1987</v>
      </c>
      <c r="B58" s="23"/>
      <c r="C58" s="24">
        <v>2.03E-4</v>
      </c>
      <c r="D58" s="25"/>
      <c r="E58" s="22">
        <v>0.64300000000000002</v>
      </c>
      <c r="F58" s="22">
        <v>0.71599999999999997</v>
      </c>
      <c r="G58" s="29" t="s">
        <v>80</v>
      </c>
      <c r="H58" s="33" t="str">
        <f t="shared" si="5"/>
        <v>203648</v>
      </c>
      <c r="I58" s="30">
        <f t="shared" si="6"/>
        <v>71.287518103608832</v>
      </c>
      <c r="J58" s="28">
        <v>11377771.838016851</v>
      </c>
      <c r="K58" s="30">
        <f t="shared" si="7"/>
        <v>91.187517462493119</v>
      </c>
      <c r="L58" s="30">
        <f t="shared" si="8"/>
        <v>78.176838329797192</v>
      </c>
      <c r="N58" s="22">
        <v>2.14E-4</v>
      </c>
      <c r="O58" s="22">
        <v>4.9594936708860752E-5</v>
      </c>
      <c r="P58" s="34">
        <f t="shared" si="16"/>
        <v>78.176838329797192</v>
      </c>
      <c r="Q58" s="14">
        <f t="shared" si="9"/>
        <v>79.375707305909415</v>
      </c>
      <c r="R58" s="14">
        <f t="shared" si="10"/>
        <v>75.024899819890365</v>
      </c>
      <c r="S58" s="22">
        <v>0.78620000000000001</v>
      </c>
      <c r="T58" s="16">
        <v>60.854999999999997</v>
      </c>
      <c r="V58" s="49">
        <f t="shared" si="11"/>
        <v>2.2967609771325329E-4</v>
      </c>
      <c r="W58" s="8">
        <f t="shared" si="12"/>
        <v>1.0732527930525855</v>
      </c>
      <c r="X58" s="8">
        <f t="shared" si="17"/>
        <v>1.1712792438929924</v>
      </c>
      <c r="Y58" s="50">
        <f t="shared" si="18"/>
        <v>2.5065375819310036E-4</v>
      </c>
      <c r="Z58" s="57">
        <f t="shared" si="13"/>
        <v>2.2967609771325334E-4</v>
      </c>
      <c r="AA58" s="8">
        <f>Z58/N58</f>
        <v>1.0732527930525857</v>
      </c>
      <c r="AB58" s="8">
        <f t="shared" si="19"/>
        <v>1.1712792438929924</v>
      </c>
      <c r="AC58" s="50">
        <f t="shared" si="20"/>
        <v>2.5065375819310036E-4</v>
      </c>
      <c r="AD58" s="57">
        <f t="shared" si="14"/>
        <v>2.2967609771325329E-4</v>
      </c>
      <c r="AE58" s="8">
        <f>AD58/N58</f>
        <v>1.0732527930525855</v>
      </c>
      <c r="AF58" s="8">
        <f t="shared" si="21"/>
        <v>1.1712792438929922</v>
      </c>
      <c r="AG58" s="50">
        <f t="shared" si="22"/>
        <v>2.506537581931003E-4</v>
      </c>
      <c r="AH58" s="49">
        <f t="shared" si="15"/>
        <v>1.8550046657578315E-4</v>
      </c>
      <c r="AI58" s="8">
        <f>AH58/N58</f>
        <v>0.86682461016721102</v>
      </c>
      <c r="AJ58" s="8">
        <f t="shared" si="23"/>
        <v>0.94994798999524921</v>
      </c>
      <c r="AK58" s="50">
        <f t="shared" si="24"/>
        <v>2.0328886985898333E-4</v>
      </c>
      <c r="AM58" s="35">
        <f t="shared" si="25"/>
        <v>0.23474757730591311</v>
      </c>
      <c r="AN58" s="35">
        <f t="shared" si="26"/>
        <v>0.23474757730591311</v>
      </c>
      <c r="AO58" s="35">
        <f t="shared" si="27"/>
        <v>0.23474757730591289</v>
      </c>
    </row>
    <row r="59" spans="1:41" s="22" customFormat="1">
      <c r="A59" s="22">
        <f t="shared" si="4"/>
        <v>1988</v>
      </c>
      <c r="B59" s="23"/>
      <c r="C59" s="24">
        <v>9.6900000000000003E-4</v>
      </c>
      <c r="D59" s="25"/>
      <c r="E59" s="22">
        <v>0.59</v>
      </c>
      <c r="F59" s="22">
        <v>0.73699999999999999</v>
      </c>
      <c r="G59" s="29" t="s">
        <v>81</v>
      </c>
      <c r="H59" s="33" t="str">
        <f t="shared" si="5"/>
        <v>199661</v>
      </c>
      <c r="I59" s="30">
        <f t="shared" si="6"/>
        <v>69.891858265657618</v>
      </c>
      <c r="J59" s="28">
        <v>11444855.915596094</v>
      </c>
      <c r="K59" s="30">
        <f t="shared" si="7"/>
        <v>91.725164954708845</v>
      </c>
      <c r="L59" s="30">
        <f t="shared" si="8"/>
        <v>76.197037421702248</v>
      </c>
      <c r="N59" s="22">
        <v>8.7100000000000003E-4</v>
      </c>
      <c r="O59" s="22">
        <v>2.1968354430379746E-4</v>
      </c>
      <c r="P59" s="34">
        <f t="shared" si="16"/>
        <v>76.197037421702248</v>
      </c>
      <c r="Q59" s="14">
        <f t="shared" si="9"/>
        <v>77.365545463063171</v>
      </c>
      <c r="R59" s="14">
        <f t="shared" si="10"/>
        <v>73.124920644900669</v>
      </c>
      <c r="S59" s="22">
        <v>0.81870000000000009</v>
      </c>
      <c r="T59" s="16">
        <v>62.619</v>
      </c>
      <c r="V59" s="49">
        <f t="shared" si="11"/>
        <v>1.031416592403018E-3</v>
      </c>
      <c r="W59" s="8">
        <f t="shared" si="12"/>
        <v>1.1841751921963466</v>
      </c>
      <c r="X59" s="8">
        <f t="shared" si="17"/>
        <v>1.2923328341011062</v>
      </c>
      <c r="Y59" s="50">
        <f t="shared" si="18"/>
        <v>1.1256218985020636E-3</v>
      </c>
      <c r="Z59" s="57">
        <f t="shared" si="13"/>
        <v>1.031416592403018E-3</v>
      </c>
      <c r="AA59" s="8">
        <f>Z59/N59</f>
        <v>1.1841751921963466</v>
      </c>
      <c r="AB59" s="8">
        <f t="shared" si="19"/>
        <v>1.292332834101106</v>
      </c>
      <c r="AC59" s="50">
        <f t="shared" si="20"/>
        <v>1.1256218985020634E-3</v>
      </c>
      <c r="AD59" s="57">
        <f t="shared" si="14"/>
        <v>1.0314165924030178E-3</v>
      </c>
      <c r="AE59" s="8">
        <f>AD59/N59</f>
        <v>1.1841751921963464</v>
      </c>
      <c r="AF59" s="8">
        <f t="shared" si="21"/>
        <v>1.2923328341011058</v>
      </c>
      <c r="AG59" s="50">
        <f t="shared" si="22"/>
        <v>1.1256218985020632E-3</v>
      </c>
      <c r="AH59" s="49">
        <f t="shared" si="15"/>
        <v>7.8906620210895343E-4</v>
      </c>
      <c r="AI59" s="8">
        <f>AH59/N59</f>
        <v>0.90593134570488332</v>
      </c>
      <c r="AJ59" s="8">
        <f t="shared" si="23"/>
        <v>0.99280483137187037</v>
      </c>
      <c r="AK59" s="50">
        <f t="shared" si="24"/>
        <v>8.647330081248991E-4</v>
      </c>
      <c r="AM59" s="35">
        <f t="shared" si="25"/>
        <v>0.16163250619407998</v>
      </c>
      <c r="AN59" s="35">
        <f t="shared" si="26"/>
        <v>0.16163250619407976</v>
      </c>
      <c r="AO59" s="35">
        <f t="shared" si="27"/>
        <v>0.16163250619407954</v>
      </c>
    </row>
    <row r="60" spans="1:41" s="22" customFormat="1">
      <c r="A60" s="22">
        <f>A61-1</f>
        <v>1989</v>
      </c>
      <c r="B60" s="23"/>
      <c r="C60" s="24">
        <v>2.9700000000000001E-2</v>
      </c>
      <c r="D60" s="25"/>
      <c r="E60" s="22">
        <v>0.58499999999999996</v>
      </c>
      <c r="F60" s="22">
        <v>0.73899999999999999</v>
      </c>
      <c r="G60" s="29" t="s">
        <v>82</v>
      </c>
      <c r="H60" s="33" t="str">
        <f t="shared" si="5"/>
        <v>185668</v>
      </c>
      <c r="I60" s="30">
        <f t="shared" si="6"/>
        <v>64.993571806552708</v>
      </c>
      <c r="J60" s="28">
        <v>11638411.223335482</v>
      </c>
      <c r="K60" s="30">
        <f t="shared" si="7"/>
        <v>93.276420178993618</v>
      </c>
      <c r="L60" s="30">
        <f t="shared" si="8"/>
        <v>69.678458587746732</v>
      </c>
      <c r="N60" s="22">
        <v>3.9399999999999998E-2</v>
      </c>
      <c r="O60" s="22">
        <v>6.9873417721518991E-3</v>
      </c>
      <c r="P60" s="34">
        <f t="shared" si="16"/>
        <v>69.678458587746732</v>
      </c>
      <c r="Q60" s="14">
        <f t="shared" si="9"/>
        <v>70.747001957993646</v>
      </c>
      <c r="R60" s="14">
        <f t="shared" si="10"/>
        <v>66.869158267782808</v>
      </c>
      <c r="S60" s="22">
        <v>0.85809999999999997</v>
      </c>
      <c r="T60" s="16">
        <v>61.899000000000001</v>
      </c>
      <c r="V60" s="49">
        <f t="shared" si="11"/>
        <v>3.3833935588418518E-2</v>
      </c>
      <c r="W60" s="8">
        <f t="shared" si="12"/>
        <v>0.85872932965529236</v>
      </c>
      <c r="X60" s="8">
        <f t="shared" si="17"/>
        <v>0.93716209867632361</v>
      </c>
      <c r="Y60" s="50">
        <f t="shared" si="18"/>
        <v>3.6924186687847145E-2</v>
      </c>
      <c r="Z60" s="57">
        <f t="shared" si="13"/>
        <v>3.3833935588418518E-2</v>
      </c>
      <c r="AA60" s="8">
        <f>Z60/N60</f>
        <v>0.85872932965529236</v>
      </c>
      <c r="AB60" s="8">
        <f t="shared" si="19"/>
        <v>0.9371620986763235</v>
      </c>
      <c r="AC60" s="50">
        <f t="shared" si="20"/>
        <v>3.6924186687847145E-2</v>
      </c>
      <c r="AD60" s="57">
        <f t="shared" si="14"/>
        <v>3.3833935588418518E-2</v>
      </c>
      <c r="AE60" s="8">
        <f>AD60/N60</f>
        <v>0.85872932965529236</v>
      </c>
      <c r="AF60" s="8">
        <f t="shared" si="21"/>
        <v>0.9371620986763235</v>
      </c>
      <c r="AG60" s="50">
        <f t="shared" si="22"/>
        <v>3.6924186687847145E-2</v>
      </c>
      <c r="AH60" s="49">
        <f t="shared" si="15"/>
        <v>2.3944997160850624E-2</v>
      </c>
      <c r="AI60" s="8">
        <f>AH60/N60</f>
        <v>0.60774104469164025</v>
      </c>
      <c r="AJ60" s="8">
        <f t="shared" si="23"/>
        <v>0.66601983500568906</v>
      </c>
      <c r="AK60" s="50">
        <f t="shared" si="24"/>
        <v>2.6241181499224147E-2</v>
      </c>
      <c r="AM60" s="35">
        <f t="shared" si="25"/>
        <v>0.24323860901842242</v>
      </c>
      <c r="AN60" s="35">
        <f t="shared" si="26"/>
        <v>0.24323860901842242</v>
      </c>
      <c r="AO60" s="35">
        <f t="shared" si="27"/>
        <v>0.24323860901842242</v>
      </c>
    </row>
    <row r="61" spans="1:41">
      <c r="A61">
        <v>1990</v>
      </c>
      <c r="B61" s="7"/>
      <c r="C61" s="8">
        <v>0.73299999999999998</v>
      </c>
      <c r="D61" s="9"/>
      <c r="E61">
        <v>0.55899999999999994</v>
      </c>
      <c r="F61">
        <v>0.76100000000000001</v>
      </c>
      <c r="G61" s="29" t="s">
        <v>83</v>
      </c>
      <c r="H61" s="33" t="str">
        <f t="shared" si="5"/>
        <v>183184</v>
      </c>
      <c r="I61" s="30">
        <f t="shared" si="6"/>
        <v>64.124041072298681</v>
      </c>
      <c r="J61" s="30">
        <v>11610026.890784185</v>
      </c>
      <c r="K61" s="30">
        <f t="shared" si="7"/>
        <v>93.048933035022742</v>
      </c>
      <c r="L61" s="30">
        <f t="shared" si="8"/>
        <v>68.914321723778386</v>
      </c>
      <c r="M61" s="17"/>
      <c r="N61">
        <v>0.44900000000000001</v>
      </c>
      <c r="O61">
        <v>0.16858591685018604</v>
      </c>
      <c r="P61" s="34">
        <f t="shared" si="16"/>
        <v>68.914321723778386</v>
      </c>
      <c r="Q61" s="14">
        <f t="shared" si="9"/>
        <v>69.971146789738668</v>
      </c>
      <c r="R61" s="14">
        <f t="shared" si="10"/>
        <v>66.135829920247687</v>
      </c>
      <c r="S61">
        <v>0.90450000000000008</v>
      </c>
      <c r="T61" s="16">
        <v>62.37</v>
      </c>
      <c r="V61" s="49">
        <f t="shared" si="11"/>
        <v>0.78899148194639612</v>
      </c>
      <c r="W61" s="8">
        <f t="shared" si="12"/>
        <v>1.7572193361835102</v>
      </c>
      <c r="X61" s="8">
        <f t="shared" si="17"/>
        <v>1.9177164492488059</v>
      </c>
      <c r="Y61" s="50">
        <f t="shared" si="18"/>
        <v>0.86105468571271382</v>
      </c>
      <c r="Z61" s="57">
        <f t="shared" si="13"/>
        <v>0.78899148194639612</v>
      </c>
      <c r="AA61" s="8">
        <f>Z61/N61</f>
        <v>1.7572193361835102</v>
      </c>
      <c r="AB61" s="8">
        <f t="shared" si="19"/>
        <v>1.9177164492488057</v>
      </c>
      <c r="AC61" s="50">
        <f t="shared" si="20"/>
        <v>0.86105468571271382</v>
      </c>
      <c r="AD61" s="57">
        <f t="shared" si="14"/>
        <v>0.78899148194639612</v>
      </c>
      <c r="AE61" s="8">
        <f>AD61/N61</f>
        <v>1.7572193361835102</v>
      </c>
      <c r="AF61" s="8">
        <f t="shared" si="21"/>
        <v>1.9177164492488057</v>
      </c>
      <c r="AG61" s="50">
        <f t="shared" si="22"/>
        <v>0.86105468571271382</v>
      </c>
      <c r="AH61" s="49">
        <f t="shared" si="15"/>
        <v>0.54809195365948493</v>
      </c>
      <c r="AI61" s="8">
        <f>AH61/N61</f>
        <v>1.2206947742972938</v>
      </c>
      <c r="AJ61" s="8">
        <f t="shared" si="23"/>
        <v>1.3377522207378627</v>
      </c>
      <c r="AK61" s="50">
        <f t="shared" si="24"/>
        <v>0.6006507471113004</v>
      </c>
      <c r="AM61" s="35">
        <f t="shared" si="25"/>
        <v>0.17469943480588523</v>
      </c>
      <c r="AN61" s="35">
        <f t="shared" si="26"/>
        <v>0.17469943480588523</v>
      </c>
      <c r="AO61" s="35">
        <f t="shared" si="27"/>
        <v>0.17469943480588523</v>
      </c>
    </row>
    <row r="62" spans="1:41">
      <c r="A62" s="1">
        <v>1991</v>
      </c>
      <c r="B62" s="7">
        <v>0.95</v>
      </c>
      <c r="C62" s="8">
        <v>1.69</v>
      </c>
      <c r="D62" s="9">
        <v>1.59</v>
      </c>
      <c r="E62" s="17">
        <v>0.64700000000000002</v>
      </c>
      <c r="F62" s="17"/>
      <c r="G62" s="29" t="s">
        <v>84</v>
      </c>
      <c r="H62" s="33" t="str">
        <f t="shared" si="5"/>
        <v>202419</v>
      </c>
      <c r="I62" s="30">
        <f t="shared" si="6"/>
        <v>70.857303420678804</v>
      </c>
      <c r="J62" s="32">
        <v>12051437.596000038</v>
      </c>
      <c r="K62" s="30">
        <f t="shared" si="7"/>
        <v>96.586633295060452</v>
      </c>
      <c r="L62" s="30">
        <f t="shared" si="8"/>
        <v>73.361396917333622</v>
      </c>
      <c r="M62" s="17"/>
      <c r="N62">
        <v>0.95</v>
      </c>
      <c r="O62">
        <v>0.45800022532925971</v>
      </c>
      <c r="P62" s="34">
        <f t="shared" si="16"/>
        <v>73.361396917333622</v>
      </c>
      <c r="Q62" s="14">
        <f>Q63*P62/P63</f>
        <v>74.486419426397205</v>
      </c>
      <c r="R62" s="14">
        <f>R63*P62/P63</f>
        <v>70.403607666394194</v>
      </c>
      <c r="S62">
        <v>0.9426000000000001</v>
      </c>
      <c r="T62" s="16">
        <v>63.744</v>
      </c>
      <c r="V62" s="49">
        <f>N$5*((O62/O$5)/(S62/S$5))*((T62/T$5)/(P62/P$5))</f>
        <v>1.9747099379434194</v>
      </c>
      <c r="W62" s="8">
        <f t="shared" si="12"/>
        <v>2.0786420399404415</v>
      </c>
      <c r="X62" s="8">
        <f t="shared" si="17"/>
        <v>2.2684965672820172</v>
      </c>
      <c r="Y62" s="50">
        <f t="shared" si="18"/>
        <v>2.1550717389179161</v>
      </c>
      <c r="Z62" s="57">
        <f t="shared" si="13"/>
        <v>1.9747099379434194</v>
      </c>
      <c r="AA62" s="8">
        <f>Z62/N62</f>
        <v>2.0786420399404415</v>
      </c>
      <c r="AB62" s="8">
        <f t="shared" si="19"/>
        <v>2.2684965672820172</v>
      </c>
      <c r="AC62" s="50">
        <f t="shared" si="20"/>
        <v>2.1550717389179161</v>
      </c>
      <c r="AD62" s="57">
        <f t="shared" si="14"/>
        <v>1.9747099379434192</v>
      </c>
      <c r="AE62" s="8">
        <f>AD62/N62</f>
        <v>2.0786420399404415</v>
      </c>
      <c r="AF62" s="8">
        <f t="shared" si="21"/>
        <v>2.2684965672820172</v>
      </c>
      <c r="AG62" s="50">
        <f t="shared" si="22"/>
        <v>2.1550717389179161</v>
      </c>
      <c r="AH62" s="49">
        <f t="shared" si="15"/>
        <v>1.4288247409084183</v>
      </c>
      <c r="AI62" s="8">
        <f>AH62/N62</f>
        <v>1.5040260430614929</v>
      </c>
      <c r="AJ62" s="8">
        <f t="shared" si="23"/>
        <v>1.6482532910909939</v>
      </c>
      <c r="AK62" s="50">
        <f t="shared" si="24"/>
        <v>1.5658406265364442</v>
      </c>
      <c r="AM62" s="35">
        <f t="shared" si="25"/>
        <v>0.27519037805793856</v>
      </c>
      <c r="AN62" s="35">
        <f t="shared" si="26"/>
        <v>0.27519037805793856</v>
      </c>
      <c r="AO62" s="35">
        <f t="shared" si="27"/>
        <v>0.27519037805793856</v>
      </c>
    </row>
    <row r="63" spans="1:41">
      <c r="A63" s="1">
        <v>1992</v>
      </c>
      <c r="B63" s="7">
        <v>0.99</v>
      </c>
      <c r="C63" s="8">
        <v>1.9</v>
      </c>
      <c r="D63" s="9">
        <v>1.93</v>
      </c>
      <c r="E63" s="17">
        <v>0.73699999999999999</v>
      </c>
      <c r="F63" s="17"/>
      <c r="G63" s="29" t="s">
        <v>85</v>
      </c>
      <c r="H63" s="33" t="str">
        <f>G63</f>
        <v>223267</v>
      </c>
      <c r="I63" s="30">
        <f t="shared" si="6"/>
        <v>78.155200662115192</v>
      </c>
      <c r="J63" s="32">
        <v>12278665.970328027</v>
      </c>
      <c r="K63" s="30">
        <f t="shared" si="7"/>
        <v>98.407762391952161</v>
      </c>
      <c r="L63" s="30">
        <f t="shared" si="8"/>
        <v>79.419751818792264</v>
      </c>
      <c r="M63" s="17"/>
      <c r="N63">
        <v>0.99</v>
      </c>
      <c r="O63">
        <v>0.57204205293199928</v>
      </c>
      <c r="P63" s="34">
        <f t="shared" si="16"/>
        <v>79.419751818792264</v>
      </c>
      <c r="Q63" s="14">
        <f>Q64*P63/P64</f>
        <v>80.637681305073272</v>
      </c>
      <c r="R63" s="14">
        <f>R64*P63/P64</f>
        <v>76.217701447442295</v>
      </c>
      <c r="S63">
        <v>0.97089999999999999</v>
      </c>
      <c r="T63" s="16">
        <v>65.570999999999998</v>
      </c>
      <c r="V63" s="49">
        <f>N$5*((O63/O$5)/(S63/S$5))*((T63/T$5)/(P63/P$5))</f>
        <v>2.2752549737998176</v>
      </c>
      <c r="W63" s="8">
        <f t="shared" si="12"/>
        <v>2.298237347272543</v>
      </c>
      <c r="X63" s="8">
        <f t="shared" si="17"/>
        <v>2.508148797585406</v>
      </c>
      <c r="Y63" s="50">
        <f t="shared" si="18"/>
        <v>2.4830673096095519</v>
      </c>
      <c r="Z63" s="57">
        <f>N$5*((O63/O$5)/(S63/S$5))*((T63/T$5)/(Q63/Q$5))</f>
        <v>2.2752549737998171</v>
      </c>
      <c r="AA63" s="8">
        <f>Z63/N63</f>
        <v>2.2982373472725426</v>
      </c>
      <c r="AB63" s="8">
        <f t="shared" si="19"/>
        <v>2.5081487975854051</v>
      </c>
      <c r="AC63" s="50">
        <f t="shared" si="20"/>
        <v>2.483067309609551</v>
      </c>
      <c r="AD63" s="57">
        <f>N$5*((O63/O$5)/(S63/S$5))*((T63/T$5)/(R63/R$5))</f>
        <v>2.2752549737998171</v>
      </c>
      <c r="AE63" s="8">
        <f>AD63/N63</f>
        <v>2.2982373472725426</v>
      </c>
      <c r="AF63" s="8">
        <f t="shared" si="21"/>
        <v>2.5081487975854051</v>
      </c>
      <c r="AG63" s="50">
        <f t="shared" si="22"/>
        <v>2.483067309609551</v>
      </c>
      <c r="AH63" s="49">
        <f>N$5*((O63/O$5)/(S63/S$5))</f>
        <v>1.7325834471393804</v>
      </c>
      <c r="AI63" s="8">
        <f>AH63/N63</f>
        <v>1.7500842900397782</v>
      </c>
      <c r="AJ63" s="8">
        <f t="shared" si="23"/>
        <v>1.9179070761787149</v>
      </c>
      <c r="AK63" s="50">
        <f t="shared" si="24"/>
        <v>1.8987280054169278</v>
      </c>
      <c r="AM63" s="35">
        <f t="shared" si="25"/>
        <v>0.30687753137344842</v>
      </c>
      <c r="AN63" s="35">
        <f t="shared" si="26"/>
        <v>0.30687753137344798</v>
      </c>
      <c r="AO63" s="35">
        <f t="shared" si="27"/>
        <v>0.30687753137344798</v>
      </c>
    </row>
    <row r="64" spans="1:41">
      <c r="A64" s="1">
        <v>1993</v>
      </c>
      <c r="B64" s="7">
        <v>0.99</v>
      </c>
      <c r="C64" s="8">
        <v>1.97</v>
      </c>
      <c r="D64" s="9">
        <v>2.0699999999999998</v>
      </c>
      <c r="E64" s="17">
        <v>0.78500000000000003</v>
      </c>
      <c r="F64" s="17"/>
      <c r="G64" s="29">
        <v>236504.98062276695</v>
      </c>
      <c r="H64" s="29">
        <v>236504.98062276695</v>
      </c>
      <c r="I64" s="30">
        <f t="shared" si="6"/>
        <v>82.789190602113223</v>
      </c>
      <c r="J64" s="32">
        <v>12409425.590610478</v>
      </c>
      <c r="K64" s="30">
        <f t="shared" si="7"/>
        <v>99.45573956425352</v>
      </c>
      <c r="L64" s="30">
        <f t="shared" si="8"/>
        <v>83.242245208610768</v>
      </c>
      <c r="M64" s="17"/>
      <c r="N64">
        <v>0.99</v>
      </c>
      <c r="O64">
        <v>0.63274436940445666</v>
      </c>
      <c r="P64" s="34">
        <f t="shared" si="16"/>
        <v>83.242245208610768</v>
      </c>
      <c r="Q64">
        <v>84.518793959041545</v>
      </c>
      <c r="R64">
        <v>79.886079316901601</v>
      </c>
      <c r="S64">
        <v>1</v>
      </c>
      <c r="T64" s="16">
        <v>65.528999999999996</v>
      </c>
      <c r="V64" s="49">
        <f t="shared" ref="V64:V95" si="28">N$5*((O64/O$5)/(S64/S$5))*((T64/T$5)/(P64/P$5))</f>
        <v>2.3297610473059662</v>
      </c>
      <c r="W64" s="8">
        <f t="shared" si="12"/>
        <v>2.3532939871777439</v>
      </c>
      <c r="X64" s="8">
        <f t="shared" si="17"/>
        <v>2.5682340822237406</v>
      </c>
      <c r="Y64" s="50">
        <f t="shared" si="18"/>
        <v>2.5425517414015033</v>
      </c>
      <c r="Z64" s="57">
        <f t="shared" ref="Z64:Z95" si="29">N$5*((O64/O$5)/(S64/S$5))*((T64/T$5)/(Q64/Q$5))</f>
        <v>2.3297610473059653</v>
      </c>
      <c r="AA64" s="8">
        <f>Z64/N64</f>
        <v>2.353293987177743</v>
      </c>
      <c r="AB64" s="8">
        <f t="shared" si="19"/>
        <v>2.5682340822237393</v>
      </c>
      <c r="AC64" s="50">
        <f t="shared" si="20"/>
        <v>2.542551741401502</v>
      </c>
      <c r="AD64" s="57">
        <f t="shared" ref="AD64:AD95" si="30">N$5*((O64/O$5)/(S64/S$5))*((T64/T$5)/(R64/R$5))</f>
        <v>2.3297610473059658</v>
      </c>
      <c r="AE64" s="8">
        <f>AD64/N64</f>
        <v>2.3532939871777434</v>
      </c>
      <c r="AF64" s="8">
        <f t="shared" si="21"/>
        <v>2.5682340822237397</v>
      </c>
      <c r="AG64" s="50">
        <f t="shared" si="22"/>
        <v>2.5425517414015024</v>
      </c>
      <c r="AH64" s="49">
        <f t="shared" ref="AH64:AH95" si="31">N$5*((O64/O$5)/(S64/S$5))</f>
        <v>1.8606684540112657</v>
      </c>
      <c r="AI64" s="8">
        <f>AH64/N64</f>
        <v>1.8794630848598644</v>
      </c>
      <c r="AJ64" s="8">
        <f t="shared" si="23"/>
        <v>2.0596925361734888</v>
      </c>
      <c r="AK64" s="50">
        <f t="shared" si="24"/>
        <v>2.0390956108117537</v>
      </c>
      <c r="AM64" s="35">
        <f t="shared" si="25"/>
        <v>0.29063540172665148</v>
      </c>
      <c r="AN64" s="35">
        <f t="shared" si="26"/>
        <v>0.29063540172665081</v>
      </c>
      <c r="AO64" s="35">
        <f t="shared" si="27"/>
        <v>0.29063540172665103</v>
      </c>
    </row>
    <row r="65" spans="1:41">
      <c r="A65" s="1">
        <v>1994</v>
      </c>
      <c r="B65" s="7">
        <v>1</v>
      </c>
      <c r="C65" s="8">
        <v>1.98</v>
      </c>
      <c r="D65" s="9">
        <v>2.1</v>
      </c>
      <c r="G65" s="29" t="s">
        <v>86</v>
      </c>
      <c r="H65" s="30">
        <v>252143.86816664433</v>
      </c>
      <c r="I65" s="30">
        <f t="shared" si="6"/>
        <v>88.263624325520595</v>
      </c>
      <c r="J65" s="30">
        <v>12204891.063783949</v>
      </c>
      <c r="K65" s="30">
        <f t="shared" si="7"/>
        <v>97.816491036316094</v>
      </c>
      <c r="L65" s="30">
        <f t="shared" si="8"/>
        <v>90.233889388601327</v>
      </c>
      <c r="N65">
        <v>1</v>
      </c>
      <c r="O65">
        <v>0.65917623792779523</v>
      </c>
      <c r="P65" s="34">
        <f t="shared" si="16"/>
        <v>90.233889388601327</v>
      </c>
      <c r="Q65">
        <v>99.065710366474747</v>
      </c>
      <c r="R65">
        <v>91.674682237038823</v>
      </c>
      <c r="S65">
        <v>1.026</v>
      </c>
      <c r="T65" s="16">
        <v>66.614000000000004</v>
      </c>
      <c r="V65" s="49">
        <f t="shared" si="28"/>
        <v>2.2184178631303415</v>
      </c>
      <c r="W65" s="8">
        <f t="shared" si="12"/>
        <v>2.2184178631303415</v>
      </c>
      <c r="X65" s="8">
        <f t="shared" si="17"/>
        <v>2.4210389334050424</v>
      </c>
      <c r="Y65" s="50">
        <f t="shared" si="18"/>
        <v>2.4210389334050424</v>
      </c>
      <c r="Z65" s="57">
        <f t="shared" si="29"/>
        <v>2.0516306507317617</v>
      </c>
      <c r="AA65" s="8">
        <f>Z65/N65</f>
        <v>2.0516306507317617</v>
      </c>
      <c r="AB65" s="8">
        <f t="shared" si="19"/>
        <v>2.2390180700131155</v>
      </c>
      <c r="AC65" s="50">
        <f t="shared" si="20"/>
        <v>2.2390180700131155</v>
      </c>
      <c r="AD65" s="57">
        <f t="shared" si="30"/>
        <v>2.095515798340998</v>
      </c>
      <c r="AE65" s="8">
        <f>AD65/N65</f>
        <v>2.095515798340998</v>
      </c>
      <c r="AF65" s="8">
        <f t="shared" si="21"/>
        <v>2.2869115046658033</v>
      </c>
      <c r="AG65" s="50">
        <f t="shared" si="22"/>
        <v>2.2869115046658033</v>
      </c>
      <c r="AH65" s="49">
        <f t="shared" si="31"/>
        <v>1.8892737399151365</v>
      </c>
      <c r="AI65" s="8">
        <f>AH65/N65</f>
        <v>1.8892737399151365</v>
      </c>
      <c r="AJ65" s="8">
        <f t="shared" si="23"/>
        <v>2.0704439753239012</v>
      </c>
      <c r="AK65" s="50">
        <f t="shared" si="24"/>
        <v>2.0704439753239012</v>
      </c>
      <c r="AM65" s="35">
        <f t="shared" si="25"/>
        <v>0.22274693606315266</v>
      </c>
      <c r="AN65" s="35">
        <f t="shared" si="26"/>
        <v>0.13081720707733102</v>
      </c>
      <c r="AO65" s="35">
        <f t="shared" si="27"/>
        <v>0.15500581043727446</v>
      </c>
    </row>
    <row r="66" spans="1:41">
      <c r="A66" s="1">
        <v>1995</v>
      </c>
      <c r="B66" s="7">
        <v>0.99</v>
      </c>
      <c r="C66" s="8">
        <v>2.0699999999999998</v>
      </c>
      <c r="D66" s="9">
        <v>2.11</v>
      </c>
      <c r="G66" s="29" t="s">
        <v>87</v>
      </c>
      <c r="H66" s="30">
        <v>246766.67485035243</v>
      </c>
      <c r="I66" s="30">
        <f t="shared" si="6"/>
        <v>86.38132366024638</v>
      </c>
      <c r="J66" s="30">
        <v>11790429.608381942</v>
      </c>
      <c r="K66" s="30">
        <f t="shared" si="7"/>
        <v>94.49477640360395</v>
      </c>
      <c r="L66" s="30">
        <f t="shared" si="8"/>
        <v>91.413861112593594</v>
      </c>
      <c r="N66">
        <v>0.99</v>
      </c>
      <c r="O66">
        <v>0.68143067731108498</v>
      </c>
      <c r="P66" s="34">
        <f t="shared" si="16"/>
        <v>91.413861112593594</v>
      </c>
      <c r="Q66">
        <v>94.003400703282182</v>
      </c>
      <c r="R66">
        <v>86.088606602617219</v>
      </c>
      <c r="S66">
        <v>1.0549999999999999</v>
      </c>
      <c r="T66" s="16">
        <v>67.697999999999993</v>
      </c>
      <c r="V66" s="49">
        <f t="shared" si="28"/>
        <v>2.2373109215567801</v>
      </c>
      <c r="W66" s="8">
        <f t="shared" si="12"/>
        <v>2.2599100217745254</v>
      </c>
      <c r="X66" s="8">
        <f t="shared" si="17"/>
        <v>2.4663208134232821</v>
      </c>
      <c r="Y66" s="50">
        <f t="shared" si="18"/>
        <v>2.4416576052890493</v>
      </c>
      <c r="Z66" s="57">
        <f t="shared" si="29"/>
        <v>2.209043847457977</v>
      </c>
      <c r="AA66" s="8">
        <f>Z66/N66</f>
        <v>2.2313574216747241</v>
      </c>
      <c r="AB66" s="8">
        <f t="shared" si="19"/>
        <v>2.435160337464068</v>
      </c>
      <c r="AC66" s="50">
        <f t="shared" si="20"/>
        <v>2.4108087340894273</v>
      </c>
      <c r="AD66" s="57">
        <f t="shared" si="30"/>
        <v>2.2799222596758817</v>
      </c>
      <c r="AE66" s="8">
        <f>AD66/N66</f>
        <v>2.3029517774503856</v>
      </c>
      <c r="AF66" s="8">
        <f t="shared" si="21"/>
        <v>2.513293824227623</v>
      </c>
      <c r="AG66" s="50">
        <f t="shared" si="22"/>
        <v>2.4881608859853466</v>
      </c>
      <c r="AH66" s="49">
        <f t="shared" si="31"/>
        <v>1.8993715428797746</v>
      </c>
      <c r="AI66" s="8">
        <f>AH66/N66</f>
        <v>1.9185571140199744</v>
      </c>
      <c r="AJ66" s="8">
        <f t="shared" si="23"/>
        <v>2.1025354527057023</v>
      </c>
      <c r="AK66" s="50">
        <f t="shared" si="24"/>
        <v>2.0815100981786454</v>
      </c>
      <c r="AM66" s="35">
        <f t="shared" si="25"/>
        <v>0.17954473685461325</v>
      </c>
      <c r="AN66" s="35">
        <f t="shared" si="26"/>
        <v>0.16464190052629357</v>
      </c>
      <c r="AO66" s="35">
        <f t="shared" si="27"/>
        <v>0.20201008984799351</v>
      </c>
    </row>
    <row r="67" spans="1:41">
      <c r="A67" s="1">
        <v>1996</v>
      </c>
      <c r="B67" s="7">
        <v>1</v>
      </c>
      <c r="C67" s="8">
        <v>1.89</v>
      </c>
      <c r="D67" s="9">
        <v>2.06</v>
      </c>
      <c r="G67" s="29" t="s">
        <v>88</v>
      </c>
      <c r="H67" s="30">
        <v>262314.74488843989</v>
      </c>
      <c r="I67" s="30">
        <f t="shared" si="6"/>
        <v>91.823966476853158</v>
      </c>
      <c r="J67" s="30">
        <v>11795626.302664084</v>
      </c>
      <c r="K67" s="30">
        <f t="shared" si="7"/>
        <v>94.536425476669095</v>
      </c>
      <c r="L67" s="30">
        <f t="shared" si="8"/>
        <v>97.130778971027041</v>
      </c>
      <c r="N67">
        <v>1</v>
      </c>
      <c r="O67">
        <v>0.68249151372334571</v>
      </c>
      <c r="P67" s="34">
        <f t="shared" si="16"/>
        <v>97.130778971027041</v>
      </c>
      <c r="Q67">
        <v>98.592738960179318</v>
      </c>
      <c r="R67">
        <v>93.064174158673936</v>
      </c>
      <c r="S67">
        <v>1.0859999999999999</v>
      </c>
      <c r="T67" s="16">
        <v>69.972999999999999</v>
      </c>
      <c r="V67" s="49">
        <f t="shared" si="28"/>
        <v>2.1175534840227801</v>
      </c>
      <c r="W67" s="8">
        <f t="shared" si="12"/>
        <v>2.1175534840227801</v>
      </c>
      <c r="X67" s="8">
        <f t="shared" si="17"/>
        <v>2.3109620209929895</v>
      </c>
      <c r="Y67" s="50">
        <f t="shared" si="18"/>
        <v>2.3109620209929895</v>
      </c>
      <c r="Z67" s="57">
        <f t="shared" si="29"/>
        <v>2.1181457178259704</v>
      </c>
      <c r="AA67" s="8">
        <f>Z67/N67</f>
        <v>2.1181457178259704</v>
      </c>
      <c r="AB67" s="8">
        <f t="shared" si="19"/>
        <v>2.31160834697108</v>
      </c>
      <c r="AC67" s="50">
        <f t="shared" si="20"/>
        <v>2.31160834697108</v>
      </c>
      <c r="AD67" s="57">
        <f t="shared" si="30"/>
        <v>2.1209774634380381</v>
      </c>
      <c r="AE67" s="8">
        <f>AD67/N67</f>
        <v>2.1209774634380381</v>
      </c>
      <c r="AF67" s="8">
        <f t="shared" si="21"/>
        <v>2.3146987324616841</v>
      </c>
      <c r="AG67" s="50">
        <f t="shared" si="22"/>
        <v>2.3146987324616841</v>
      </c>
      <c r="AH67" s="49">
        <f t="shared" si="31"/>
        <v>1.8480262499347575</v>
      </c>
      <c r="AI67" s="8">
        <f>AH67/N67</f>
        <v>1.8480262499347575</v>
      </c>
      <c r="AJ67" s="8">
        <f t="shared" si="23"/>
        <v>2.0252410937494476</v>
      </c>
      <c r="AK67" s="50">
        <f t="shared" si="24"/>
        <v>2.0252410937494476</v>
      </c>
      <c r="AM67" s="35">
        <f t="shared" si="25"/>
        <v>0.22273122803861889</v>
      </c>
      <c r="AN67" s="35">
        <f t="shared" si="26"/>
        <v>0.22307319945559789</v>
      </c>
      <c r="AO67" s="35">
        <f t="shared" si="27"/>
        <v>0.22470832405380126</v>
      </c>
    </row>
    <row r="68" spans="1:41">
      <c r="A68" s="1">
        <v>1997</v>
      </c>
      <c r="B68" s="7">
        <v>1</v>
      </c>
      <c r="C68" s="8">
        <v>1.79</v>
      </c>
      <c r="D68" s="9">
        <v>2.02</v>
      </c>
      <c r="G68" s="29" t="s">
        <v>89</v>
      </c>
      <c r="H68" s="30">
        <v>285671.3284701808</v>
      </c>
      <c r="I68" s="30">
        <f>H68/H$68*100</f>
        <v>100</v>
      </c>
      <c r="J68" s="30">
        <v>12477334.787293348</v>
      </c>
      <c r="K68" s="30">
        <f>J68/J$68*100</f>
        <v>100</v>
      </c>
      <c r="L68" s="30">
        <f>I68/K68*100</f>
        <v>100</v>
      </c>
      <c r="N68">
        <v>1</v>
      </c>
      <c r="O68">
        <v>0.68609908018984989</v>
      </c>
      <c r="P68" s="34">
        <f t="shared" si="16"/>
        <v>100</v>
      </c>
      <c r="Q68">
        <v>100</v>
      </c>
      <c r="R68">
        <v>100</v>
      </c>
      <c r="S68">
        <v>1.111</v>
      </c>
      <c r="T68" s="16">
        <v>72.126000000000005</v>
      </c>
      <c r="V68" s="49">
        <f t="shared" si="28"/>
        <v>2.0833294890638645</v>
      </c>
      <c r="W68" s="8">
        <f t="shared" si="12"/>
        <v>2.0833294890638645</v>
      </c>
      <c r="X68" s="8">
        <f t="shared" si="17"/>
        <v>2.2736121485324086</v>
      </c>
      <c r="Y68" s="50">
        <f t="shared" si="18"/>
        <v>2.2736121485324086</v>
      </c>
      <c r="Z68" s="57">
        <f t="shared" si="29"/>
        <v>2.1152780705723906</v>
      </c>
      <c r="AA68" s="8">
        <f>Z68/N68</f>
        <v>2.1152780705723906</v>
      </c>
      <c r="AB68" s="8">
        <f t="shared" si="19"/>
        <v>2.3084787807321967</v>
      </c>
      <c r="AC68" s="50">
        <f t="shared" si="20"/>
        <v>2.3084787807321967</v>
      </c>
      <c r="AD68" s="57">
        <f t="shared" si="30"/>
        <v>1.9993336843511778</v>
      </c>
      <c r="AE68" s="8">
        <f>AD68/N68</f>
        <v>1.9993336843511778</v>
      </c>
      <c r="AF68" s="8">
        <f t="shared" si="21"/>
        <v>2.1819445160129196</v>
      </c>
      <c r="AG68" s="50">
        <f t="shared" si="22"/>
        <v>2.1819445160129196</v>
      </c>
      <c r="AH68" s="49">
        <f t="shared" si="31"/>
        <v>1.8159901291358316</v>
      </c>
      <c r="AI68" s="8">
        <f>AH68/N68</f>
        <v>1.8159901291358316</v>
      </c>
      <c r="AJ68" s="8">
        <f t="shared" si="23"/>
        <v>1.9901328974624108</v>
      </c>
      <c r="AK68" s="50">
        <f t="shared" si="24"/>
        <v>1.9901328974624108</v>
      </c>
      <c r="AM68" s="35">
        <f t="shared" si="25"/>
        <v>0.2701743846549769</v>
      </c>
      <c r="AN68" s="35">
        <f t="shared" si="26"/>
        <v>0.2896529501297187</v>
      </c>
      <c r="AO68" s="35">
        <f t="shared" si="27"/>
        <v>0.21896341676699427</v>
      </c>
    </row>
    <row r="69" spans="1:41">
      <c r="A69" s="1">
        <v>1998</v>
      </c>
      <c r="B69" s="7">
        <v>1</v>
      </c>
      <c r="C69" s="8">
        <v>1.8</v>
      </c>
      <c r="D69" s="9">
        <v>2.0099999999999998</v>
      </c>
      <c r="G69" s="29" t="s">
        <v>90</v>
      </c>
      <c r="H69" s="30">
        <v>298846.23043900705</v>
      </c>
      <c r="I69" s="30">
        <f t="shared" ref="I69:I95" si="32">H69/H$68*100</f>
        <v>104.61190909125537</v>
      </c>
      <c r="J69" s="30">
        <v>12891217.565619083</v>
      </c>
      <c r="K69" s="30">
        <f t="shared" ref="K69:K95" si="33">J69/J$68*100</f>
        <v>103.31707680671695</v>
      </c>
      <c r="L69" s="30">
        <f t="shared" ref="L69:L95" si="34">I69/K69*100</f>
        <v>101.25326066566977</v>
      </c>
      <c r="N69">
        <v>1</v>
      </c>
      <c r="O69">
        <v>0.69244320061850628</v>
      </c>
      <c r="P69" s="34">
        <f t="shared" si="16"/>
        <v>101.25326066566977</v>
      </c>
      <c r="Q69">
        <v>105.40486125989436</v>
      </c>
      <c r="R69">
        <v>104.37148026715033</v>
      </c>
      <c r="S69">
        <v>1.1279999999999999</v>
      </c>
      <c r="T69" s="16">
        <v>74.402000000000001</v>
      </c>
      <c r="V69" s="49">
        <f t="shared" si="28"/>
        <v>2.1098130936232828</v>
      </c>
      <c r="W69" s="8">
        <f t="shared" si="12"/>
        <v>2.1098130936232828</v>
      </c>
      <c r="X69" s="8">
        <f t="shared" si="17"/>
        <v>2.302514655495087</v>
      </c>
      <c r="Y69" s="50">
        <f t="shared" si="18"/>
        <v>2.302514655495087</v>
      </c>
      <c r="Z69" s="57">
        <f t="shared" si="29"/>
        <v>2.0577938541383842</v>
      </c>
      <c r="AA69" s="8">
        <f>Z69/N69</f>
        <v>2.0577938541383842</v>
      </c>
      <c r="AB69" s="8">
        <f t="shared" si="19"/>
        <v>2.2457441948112957</v>
      </c>
      <c r="AC69" s="50">
        <f t="shared" si="20"/>
        <v>2.2457441948112957</v>
      </c>
      <c r="AD69" s="57">
        <f t="shared" si="30"/>
        <v>1.9642577698593673</v>
      </c>
      <c r="AE69" s="8">
        <f>AD69/N69</f>
        <v>1.9642577698593673</v>
      </c>
      <c r="AF69" s="8">
        <f t="shared" si="21"/>
        <v>2.1436649132289647</v>
      </c>
      <c r="AG69" s="50">
        <f t="shared" si="22"/>
        <v>2.1436649132289647</v>
      </c>
      <c r="AH69" s="49">
        <f t="shared" si="31"/>
        <v>1.8051602465890684</v>
      </c>
      <c r="AI69" s="8">
        <f>AH69/N69</f>
        <v>1.8051602465890684</v>
      </c>
      <c r="AJ69" s="8">
        <f t="shared" si="23"/>
        <v>1.97826449290108</v>
      </c>
      <c r="AK69" s="50">
        <f t="shared" si="24"/>
        <v>1.97826449290108</v>
      </c>
      <c r="AM69" s="35">
        <f t="shared" si="25"/>
        <v>0.27917480860838162</v>
      </c>
      <c r="AN69" s="35">
        <f t="shared" si="26"/>
        <v>0.24763566378405311</v>
      </c>
      <c r="AO69" s="35">
        <f t="shared" si="27"/>
        <v>0.19092495179386915</v>
      </c>
    </row>
    <row r="70" spans="1:41">
      <c r="A70" s="1">
        <v>1999</v>
      </c>
      <c r="B70" s="7">
        <v>1</v>
      </c>
      <c r="C70" s="8">
        <v>1.85</v>
      </c>
      <c r="D70" s="9">
        <v>1.94</v>
      </c>
      <c r="G70" s="29" t="s">
        <v>91</v>
      </c>
      <c r="H70" s="30">
        <v>290846.71614233498</v>
      </c>
      <c r="I70" s="30">
        <f t="shared" si="32"/>
        <v>101.81165806868657</v>
      </c>
      <c r="J70" s="30">
        <v>13046250.453312678</v>
      </c>
      <c r="K70" s="30">
        <f t="shared" si="33"/>
        <v>104.55959285951597</v>
      </c>
      <c r="L70" s="30">
        <f t="shared" si="34"/>
        <v>97.371896049249656</v>
      </c>
      <c r="N70">
        <v>1</v>
      </c>
      <c r="O70">
        <v>0.68436462539129039</v>
      </c>
      <c r="P70" s="34">
        <f t="shared" si="16"/>
        <v>97.371896049249656</v>
      </c>
      <c r="Q70">
        <v>96.727278669051628</v>
      </c>
      <c r="R70">
        <v>100.86458114899635</v>
      </c>
      <c r="S70">
        <v>1.153</v>
      </c>
      <c r="T70" s="16">
        <v>76.766999999999996</v>
      </c>
      <c r="V70" s="49">
        <f t="shared" si="28"/>
        <v>2.1887316769380862</v>
      </c>
      <c r="W70" s="8">
        <f t="shared" si="12"/>
        <v>2.1887316769380862</v>
      </c>
      <c r="X70" s="8">
        <f t="shared" si="17"/>
        <v>2.3886413343096469</v>
      </c>
      <c r="Y70" s="50">
        <f t="shared" si="18"/>
        <v>2.3886413343096469</v>
      </c>
      <c r="Z70" s="57">
        <f t="shared" si="29"/>
        <v>2.2371066380247662</v>
      </c>
      <c r="AA70" s="8">
        <f>Z70/N70</f>
        <v>2.2371066380247662</v>
      </c>
      <c r="AB70" s="8">
        <f t="shared" si="19"/>
        <v>2.441434663348002</v>
      </c>
      <c r="AC70" s="50">
        <f t="shared" si="20"/>
        <v>2.441434663348002</v>
      </c>
      <c r="AD70" s="57">
        <f t="shared" si="30"/>
        <v>2.027751738744374</v>
      </c>
      <c r="AE70" s="8">
        <f>AD70/N70</f>
        <v>2.027751738744374</v>
      </c>
      <c r="AF70" s="8">
        <f t="shared" si="21"/>
        <v>2.2129581574197137</v>
      </c>
      <c r="AG70" s="50">
        <f t="shared" si="22"/>
        <v>2.2129581574197137</v>
      </c>
      <c r="AH70" s="49">
        <f t="shared" si="31"/>
        <v>1.7454159929536279</v>
      </c>
      <c r="AI70" s="8">
        <f>AH70/N70</f>
        <v>1.7454159929536279</v>
      </c>
      <c r="AJ70" s="8">
        <f t="shared" si="23"/>
        <v>1.9127911168696758</v>
      </c>
      <c r="AK70" s="50">
        <f t="shared" si="24"/>
        <v>1.9127911168696758</v>
      </c>
      <c r="AM70" s="35">
        <f t="shared" si="25"/>
        <v>0.29115747800521441</v>
      </c>
      <c r="AN70" s="35">
        <f t="shared" si="26"/>
        <v>0.31969441262054143</v>
      </c>
      <c r="AO70" s="35">
        <f t="shared" si="27"/>
        <v>0.19619359860525054</v>
      </c>
    </row>
    <row r="71" spans="1:41">
      <c r="A71" s="1">
        <v>2000</v>
      </c>
      <c r="B71" s="7">
        <v>1</v>
      </c>
      <c r="C71" s="8">
        <v>1.74</v>
      </c>
      <c r="D71" s="9">
        <v>1.86</v>
      </c>
      <c r="G71" s="29" t="s">
        <v>92</v>
      </c>
      <c r="H71" s="30">
        <v>290668.43703805312</v>
      </c>
      <c r="I71" s="30">
        <f t="shared" si="32"/>
        <v>101.74925099926293</v>
      </c>
      <c r="J71" s="30">
        <v>13095489.205911011</v>
      </c>
      <c r="K71" s="30">
        <f t="shared" si="33"/>
        <v>104.95421842208785</v>
      </c>
      <c r="L71" s="30">
        <f t="shared" si="34"/>
        <v>96.946318622529589</v>
      </c>
      <c r="N71">
        <v>1</v>
      </c>
      <c r="O71">
        <v>0.6779377065296085</v>
      </c>
      <c r="P71" s="34">
        <f t="shared" si="16"/>
        <v>96.946318622529589</v>
      </c>
      <c r="Q71">
        <v>105.26128319993266</v>
      </c>
      <c r="R71">
        <v>109.7636094724962</v>
      </c>
      <c r="S71">
        <v>1.1919999999999999</v>
      </c>
      <c r="T71" s="16">
        <v>79.174999999999997</v>
      </c>
      <c r="V71" s="49">
        <f t="shared" si="28"/>
        <v>2.1725191830062989</v>
      </c>
      <c r="W71" s="8">
        <f t="shared" ref="W71:W95" si="35">V71/N71</f>
        <v>2.1725191830062989</v>
      </c>
      <c r="X71" s="8">
        <f t="shared" si="17"/>
        <v>2.3709480585437075</v>
      </c>
      <c r="Y71" s="50">
        <f t="shared" si="18"/>
        <v>2.3709480585437075</v>
      </c>
      <c r="Z71" s="57">
        <f t="shared" si="29"/>
        <v>2.0315886962167653</v>
      </c>
      <c r="AA71" s="8">
        <f>Z71/N71</f>
        <v>2.0315886962167653</v>
      </c>
      <c r="AB71" s="8">
        <f t="shared" si="19"/>
        <v>2.2171455666453905</v>
      </c>
      <c r="AC71" s="50">
        <f t="shared" si="20"/>
        <v>2.2171455666453905</v>
      </c>
      <c r="AD71" s="57">
        <f t="shared" si="30"/>
        <v>1.8414667594050362</v>
      </c>
      <c r="AE71" s="8">
        <f>AD71/N71</f>
        <v>1.8414667594050362</v>
      </c>
      <c r="AF71" s="8">
        <f t="shared" si="21"/>
        <v>2.0096586820662767</v>
      </c>
      <c r="AG71" s="50">
        <f t="shared" si="22"/>
        <v>2.0096586820662767</v>
      </c>
      <c r="AH71" s="49">
        <f t="shared" si="31"/>
        <v>1.6724542243761862</v>
      </c>
      <c r="AI71" s="8">
        <f>AH71/N71</f>
        <v>1.6724542243761862</v>
      </c>
      <c r="AJ71" s="8">
        <f t="shared" si="23"/>
        <v>1.8328327439835284</v>
      </c>
      <c r="AK71" s="50">
        <f t="shared" si="24"/>
        <v>1.8328327439835284</v>
      </c>
      <c r="AM71" s="35">
        <f t="shared" si="25"/>
        <v>0.36261382674925713</v>
      </c>
      <c r="AN71" s="35">
        <f t="shared" si="26"/>
        <v>0.27422159002608648</v>
      </c>
      <c r="AO71" s="35">
        <f t="shared" si="27"/>
        <v>0.15497625406107862</v>
      </c>
    </row>
    <row r="72" spans="1:41">
      <c r="A72" s="1">
        <v>2001</v>
      </c>
      <c r="B72" s="7">
        <v>1</v>
      </c>
      <c r="C72" s="8">
        <v>1.79</v>
      </c>
      <c r="D72" s="9">
        <v>1.79</v>
      </c>
      <c r="G72" s="29" t="s">
        <v>93</v>
      </c>
      <c r="H72" s="30">
        <v>279891.35678237578</v>
      </c>
      <c r="I72" s="30">
        <f t="shared" si="32"/>
        <v>97.97670570625418</v>
      </c>
      <c r="J72" s="30">
        <v>12745435.695000052</v>
      </c>
      <c r="K72" s="30">
        <f t="shared" si="33"/>
        <v>102.14870332708979</v>
      </c>
      <c r="L72" s="30">
        <f t="shared" si="34"/>
        <v>95.915760567731851</v>
      </c>
      <c r="N72">
        <v>1</v>
      </c>
      <c r="O72">
        <v>0.67071425702770793</v>
      </c>
      <c r="P72" s="34">
        <f t="shared" ref="P72:P95" si="36">L72</f>
        <v>95.915760567731851</v>
      </c>
      <c r="Q72">
        <v>105.2428651996514</v>
      </c>
      <c r="R72">
        <v>108.94100394751618</v>
      </c>
      <c r="S72">
        <v>1.226</v>
      </c>
      <c r="T72" s="16">
        <v>79.394999999999996</v>
      </c>
      <c r="V72" s="49">
        <f t="shared" si="28"/>
        <v>2.1180859603668152</v>
      </c>
      <c r="W72" s="8">
        <f t="shared" si="35"/>
        <v>2.1180859603668152</v>
      </c>
      <c r="X72" s="8">
        <f t="shared" ref="X72:X95" si="37">W72/W$5</f>
        <v>2.3115431315138935</v>
      </c>
      <c r="Y72" s="50">
        <f t="shared" ref="Y72:Y95" si="38">N72*X72</f>
        <v>2.3115431315138935</v>
      </c>
      <c r="Z72" s="57">
        <f t="shared" si="29"/>
        <v>1.9599744009794025</v>
      </c>
      <c r="AA72" s="8">
        <f>Z72/N72</f>
        <v>1.9599744009794025</v>
      </c>
      <c r="AB72" s="8">
        <f t="shared" ref="AB72:AB95" si="39">AA72/AA$5</f>
        <v>2.138990319232549</v>
      </c>
      <c r="AC72" s="50">
        <f t="shared" ref="AC72:AC95" si="40">N72*AB72</f>
        <v>2.138990319232549</v>
      </c>
      <c r="AD72" s="57">
        <f t="shared" si="30"/>
        <v>1.7896557698782523</v>
      </c>
      <c r="AE72" s="8">
        <f>AD72/N72</f>
        <v>1.7896557698782523</v>
      </c>
      <c r="AF72" s="8">
        <f t="shared" ref="AF72:AF95" si="41">AE72/AE$5</f>
        <v>1.9531154920265132</v>
      </c>
      <c r="AG72" s="50">
        <f t="shared" ref="AG72:AG95" si="42">N72*AF72</f>
        <v>1.9531154920265132</v>
      </c>
      <c r="AH72" s="49">
        <f t="shared" si="31"/>
        <v>1.6087470859745361</v>
      </c>
      <c r="AI72" s="8">
        <f>AH72/N72</f>
        <v>1.6087470859745361</v>
      </c>
      <c r="AJ72" s="8">
        <f t="shared" ref="AJ72:AJ95" si="43">AI72/AI$5</f>
        <v>1.7630164658539509</v>
      </c>
      <c r="AK72" s="50">
        <f t="shared" ref="AK72:AK95" si="44">N72*AJ72</f>
        <v>1.7630164658539509</v>
      </c>
      <c r="AM72" s="35">
        <f t="shared" ref="AM72:AM95" si="45">Y72/C72-1</f>
        <v>0.29136487794072252</v>
      </c>
      <c r="AN72" s="35">
        <f t="shared" ref="AN72:AN95" si="46">AC72/C72-1</f>
        <v>0.19496665878913344</v>
      </c>
      <c r="AO72" s="35">
        <f t="shared" ref="AO72:AO95" si="47">AG72/C72-1</f>
        <v>9.1125973199169374E-2</v>
      </c>
    </row>
    <row r="73" spans="1:41">
      <c r="A73" s="1">
        <v>2002</v>
      </c>
      <c r="B73" s="7">
        <v>3.14</v>
      </c>
      <c r="C73" s="8">
        <v>2.4</v>
      </c>
      <c r="D73" s="9">
        <v>2.2200000000000002</v>
      </c>
      <c r="G73" s="29" t="s">
        <v>94</v>
      </c>
      <c r="H73" s="30">
        <v>251227.94836399777</v>
      </c>
      <c r="I73" s="30">
        <f t="shared" si="32"/>
        <v>87.943004189243197</v>
      </c>
      <c r="J73" s="30">
        <v>12486026.874948943</v>
      </c>
      <c r="K73" s="30">
        <f t="shared" si="33"/>
        <v>100.06966301540972</v>
      </c>
      <c r="L73" s="30">
        <f t="shared" si="34"/>
        <v>87.881783089147476</v>
      </c>
      <c r="N73">
        <v>3.14</v>
      </c>
      <c r="O73">
        <v>0.84421828458090353</v>
      </c>
      <c r="P73" s="34">
        <f t="shared" si="36"/>
        <v>87.881783089147476</v>
      </c>
      <c r="Q73">
        <v>131.53270412942186</v>
      </c>
      <c r="R73">
        <v>133.80528813706582</v>
      </c>
      <c r="S73">
        <v>1.2450000000000001</v>
      </c>
      <c r="T73" s="16">
        <v>82.658000000000001</v>
      </c>
      <c r="V73" s="49">
        <f t="shared" si="28"/>
        <v>2.9830791117826436</v>
      </c>
      <c r="W73" s="8">
        <f t="shared" si="35"/>
        <v>0.95002519483523673</v>
      </c>
      <c r="X73" s="8">
        <f t="shared" si="37"/>
        <v>1.0367965488549988</v>
      </c>
      <c r="Y73" s="50">
        <f t="shared" si="38"/>
        <v>3.2555411634046965</v>
      </c>
      <c r="Z73" s="57">
        <f t="shared" si="29"/>
        <v>2.023668577230302</v>
      </c>
      <c r="AA73" s="8">
        <f>Z73/N73</f>
        <v>0.64448043860837645</v>
      </c>
      <c r="AB73" s="8">
        <f t="shared" si="39"/>
        <v>0.70334460410768984</v>
      </c>
      <c r="AC73" s="50">
        <f t="shared" si="40"/>
        <v>2.2085020568981464</v>
      </c>
      <c r="AD73" s="57">
        <f t="shared" si="30"/>
        <v>1.8802589960335672</v>
      </c>
      <c r="AE73" s="8">
        <f>AD73/N73</f>
        <v>0.59880859746291948</v>
      </c>
      <c r="AF73" s="8">
        <f t="shared" si="41"/>
        <v>0.65350128675474761</v>
      </c>
      <c r="AG73" s="50">
        <f t="shared" si="42"/>
        <v>2.0519940404099075</v>
      </c>
      <c r="AH73" s="49">
        <f t="shared" si="31"/>
        <v>1.9940043807911296</v>
      </c>
      <c r="AI73" s="8">
        <f>AH73/N73</f>
        <v>0.63503324229016866</v>
      </c>
      <c r="AJ73" s="8">
        <f t="shared" si="43"/>
        <v>0.6959291937700578</v>
      </c>
      <c r="AK73" s="50">
        <f t="shared" si="44"/>
        <v>2.1852176684379816</v>
      </c>
      <c r="AM73" s="35">
        <f t="shared" si="45"/>
        <v>0.35647548475195689</v>
      </c>
      <c r="AN73" s="35">
        <f t="shared" si="46"/>
        <v>-7.9790809625772341E-2</v>
      </c>
      <c r="AO73" s="35">
        <f t="shared" si="47"/>
        <v>-0.1450024831625385</v>
      </c>
    </row>
    <row r="74" spans="1:41">
      <c r="A74" s="1">
        <v>2003</v>
      </c>
      <c r="B74" s="7">
        <v>2.93</v>
      </c>
      <c r="C74" s="8">
        <v>2.5299999999999998</v>
      </c>
      <c r="D74" s="9">
        <v>2.46</v>
      </c>
      <c r="G74" s="29" t="s">
        <v>95</v>
      </c>
      <c r="H74" s="30">
        <v>275434.63826879498</v>
      </c>
      <c r="I74" s="30">
        <f t="shared" si="32"/>
        <v>96.416619667012071</v>
      </c>
      <c r="J74" s="30">
        <v>14106347.744907022</v>
      </c>
      <c r="K74" s="30">
        <f t="shared" si="33"/>
        <v>113.05577661723581</v>
      </c>
      <c r="L74" s="30">
        <f t="shared" si="34"/>
        <v>85.282346954673855</v>
      </c>
      <c r="N74">
        <v>2.93</v>
      </c>
      <c r="O74">
        <v>0.95770775932323515</v>
      </c>
      <c r="P74" s="34">
        <f t="shared" si="36"/>
        <v>85.282346954673855</v>
      </c>
      <c r="Q74">
        <v>128.76090466741559</v>
      </c>
      <c r="R74">
        <v>140.48616211457448</v>
      </c>
      <c r="S74">
        <v>1.2729999999999999</v>
      </c>
      <c r="T74" s="16">
        <v>85.992999999999995</v>
      </c>
      <c r="V74" s="49">
        <f t="shared" si="28"/>
        <v>3.5481493716506503</v>
      </c>
      <c r="W74" s="8">
        <f t="shared" si="35"/>
        <v>1.2109724817920307</v>
      </c>
      <c r="X74" s="8">
        <f t="shared" si="37"/>
        <v>1.3215776767879275</v>
      </c>
      <c r="Y74" s="50">
        <f t="shared" si="38"/>
        <v>3.8722225929886278</v>
      </c>
      <c r="Z74" s="57">
        <f t="shared" si="29"/>
        <v>2.3860883738538741</v>
      </c>
      <c r="AA74" s="8">
        <f>Z74/N74</f>
        <v>0.81436463271463277</v>
      </c>
      <c r="AB74" s="8">
        <f t="shared" si="39"/>
        <v>0.88874531464876816</v>
      </c>
      <c r="AC74" s="50">
        <f t="shared" si="40"/>
        <v>2.604023771920891</v>
      </c>
      <c r="AD74" s="57">
        <f t="shared" si="30"/>
        <v>2.0670682275808745</v>
      </c>
      <c r="AE74" s="8">
        <f>AD74/N74</f>
        <v>0.70548403671702198</v>
      </c>
      <c r="AF74" s="8">
        <f t="shared" si="41"/>
        <v>0.76992001740265015</v>
      </c>
      <c r="AG74" s="50">
        <f t="shared" si="42"/>
        <v>2.2558656509897652</v>
      </c>
      <c r="AH74" s="49">
        <f t="shared" si="31"/>
        <v>2.2123065636579744</v>
      </c>
      <c r="AI74" s="8">
        <f>AH74/N74</f>
        <v>0.75505343469555442</v>
      </c>
      <c r="AJ74" s="8">
        <f t="shared" si="43"/>
        <v>0.82745861644340124</v>
      </c>
      <c r="AK74" s="50">
        <f t="shared" si="44"/>
        <v>2.4244537461791658</v>
      </c>
      <c r="AM74" s="35">
        <f t="shared" si="45"/>
        <v>0.53052276402712573</v>
      </c>
      <c r="AN74" s="35">
        <f t="shared" si="46"/>
        <v>2.9258407873870018E-2</v>
      </c>
      <c r="AO74" s="35">
        <f t="shared" si="47"/>
        <v>-0.10835349763250379</v>
      </c>
    </row>
    <row r="75" spans="1:41">
      <c r="A75" s="1">
        <v>2004</v>
      </c>
      <c r="B75" s="10">
        <v>2.93</v>
      </c>
      <c r="C75" s="11">
        <v>2.64</v>
      </c>
      <c r="D75" s="12">
        <v>2.5</v>
      </c>
      <c r="G75" s="29" t="s">
        <v>96</v>
      </c>
      <c r="H75" s="30">
        <v>302507.91826133063</v>
      </c>
      <c r="I75" s="30">
        <f t="shared" si="32"/>
        <v>105.8936925456652</v>
      </c>
      <c r="J75" s="30">
        <v>15084790.667441539</v>
      </c>
      <c r="K75" s="30">
        <f t="shared" si="33"/>
        <v>120.89753881416702</v>
      </c>
      <c r="L75" s="30">
        <f t="shared" si="34"/>
        <v>87.589618104993519</v>
      </c>
      <c r="N75">
        <v>2.93</v>
      </c>
      <c r="O75">
        <v>1</v>
      </c>
      <c r="P75" s="34">
        <f t="shared" si="36"/>
        <v>87.589618104993519</v>
      </c>
      <c r="Q75">
        <v>146.52488340131313</v>
      </c>
      <c r="R75">
        <v>153.99498299123488</v>
      </c>
      <c r="S75">
        <v>1.3069999999999999</v>
      </c>
      <c r="T75" s="16">
        <v>89.353999999999999</v>
      </c>
      <c r="V75" s="49">
        <f t="shared" si="28"/>
        <v>3.6507249504676786</v>
      </c>
      <c r="W75" s="8">
        <f t="shared" si="35"/>
        <v>1.2459812117637128</v>
      </c>
      <c r="X75" s="8">
        <f t="shared" si="37"/>
        <v>1.3597839586968314</v>
      </c>
      <c r="Y75" s="50">
        <f t="shared" si="38"/>
        <v>3.9841669989817166</v>
      </c>
      <c r="Z75" s="57">
        <f t="shared" si="29"/>
        <v>2.2157964798564338</v>
      </c>
      <c r="AA75" s="8">
        <f>Z75/N75</f>
        <v>0.75624453237420941</v>
      </c>
      <c r="AB75" s="8">
        <f t="shared" si="39"/>
        <v>0.8253167658274837</v>
      </c>
      <c r="AC75" s="50">
        <f t="shared" si="40"/>
        <v>2.4181781238745272</v>
      </c>
      <c r="AD75" s="57">
        <f t="shared" si="30"/>
        <v>1.9927485248515979</v>
      </c>
      <c r="AE75" s="8">
        <f>AD75/N75</f>
        <v>0.68011895046129622</v>
      </c>
      <c r="AF75" s="8">
        <f t="shared" si="41"/>
        <v>0.742238189558172</v>
      </c>
      <c r="AG75" s="50">
        <f t="shared" si="42"/>
        <v>2.1747578954054441</v>
      </c>
      <c r="AH75" s="49">
        <f t="shared" si="31"/>
        <v>2.249909854177544</v>
      </c>
      <c r="AI75" s="8">
        <f>AH75/N75</f>
        <v>0.76788732224489553</v>
      </c>
      <c r="AJ75" s="8">
        <f t="shared" si="43"/>
        <v>0.84152319829574385</v>
      </c>
      <c r="AK75" s="50">
        <f t="shared" si="44"/>
        <v>2.4656629710065294</v>
      </c>
      <c r="AM75" s="35">
        <f t="shared" si="45"/>
        <v>0.50915416628095311</v>
      </c>
      <c r="AN75" s="35">
        <f t="shared" si="46"/>
        <v>-8.4023437926315503E-2</v>
      </c>
      <c r="AO75" s="35">
        <f t="shared" si="47"/>
        <v>-0.17622806992218032</v>
      </c>
    </row>
    <row r="76" spans="1:41">
      <c r="A76">
        <f>A75+1</f>
        <v>2005</v>
      </c>
      <c r="G76" s="30"/>
      <c r="H76" s="30">
        <v>329284.89041512372</v>
      </c>
      <c r="I76" s="30">
        <f t="shared" si="32"/>
        <v>115.26704208591778</v>
      </c>
      <c r="J76" s="30">
        <v>15543935.014474137</v>
      </c>
      <c r="K76" s="30">
        <f t="shared" si="33"/>
        <v>124.57736591554591</v>
      </c>
      <c r="L76" s="30">
        <f t="shared" si="34"/>
        <v>92.526472396326113</v>
      </c>
      <c r="N76">
        <v>2.9284166666666671</v>
      </c>
      <c r="O76">
        <v>1.0964239819992485</v>
      </c>
      <c r="P76" s="34">
        <f t="shared" si="36"/>
        <v>92.526472396326113</v>
      </c>
      <c r="Q76">
        <v>142.1876125219637</v>
      </c>
      <c r="R76">
        <v>154.65523378588117</v>
      </c>
      <c r="S76">
        <v>1.3518098637415767</v>
      </c>
      <c r="T76" s="16">
        <v>91.373000000000005</v>
      </c>
      <c r="V76" s="49">
        <f t="shared" si="28"/>
        <v>3.7463481146999991</v>
      </c>
      <c r="W76" s="8">
        <f t="shared" si="35"/>
        <v>1.2793084253834548</v>
      </c>
      <c r="X76" s="8">
        <f t="shared" si="37"/>
        <v>1.3961551415367712</v>
      </c>
      <c r="Y76" s="50">
        <f t="shared" si="38"/>
        <v>4.0885239857286404</v>
      </c>
      <c r="Z76" s="57">
        <f t="shared" si="29"/>
        <v>2.4752660124560486</v>
      </c>
      <c r="AA76" s="8">
        <f>Z76/N76</f>
        <v>0.84525745281786457</v>
      </c>
      <c r="AB76" s="8">
        <f t="shared" si="39"/>
        <v>0.92245975658310442</v>
      </c>
      <c r="AC76" s="50">
        <f t="shared" si="40"/>
        <v>2.70134652550724</v>
      </c>
      <c r="AD76" s="57">
        <f t="shared" si="30"/>
        <v>2.1509822905283835</v>
      </c>
      <c r="AE76" s="8">
        <f>AD76/N76</f>
        <v>0.73452057386928649</v>
      </c>
      <c r="AF76" s="8">
        <f t="shared" si="41"/>
        <v>0.80160863121398063</v>
      </c>
      <c r="AG76" s="50">
        <f t="shared" si="42"/>
        <v>2.3474440757908748</v>
      </c>
      <c r="AH76" s="49">
        <f t="shared" si="31"/>
        <v>2.3850836794606027</v>
      </c>
      <c r="AI76" s="8">
        <f>AH76/N76</f>
        <v>0.81446185804408611</v>
      </c>
      <c r="AJ76" s="8">
        <f t="shared" si="43"/>
        <v>0.89256395803936517</v>
      </c>
      <c r="AK76" s="50">
        <f t="shared" si="44"/>
        <v>2.6137991707884445</v>
      </c>
      <c r="AM76" s="35" t="e">
        <f t="shared" si="45"/>
        <v>#DIV/0!</v>
      </c>
      <c r="AN76" s="35" t="e">
        <f t="shared" si="46"/>
        <v>#DIV/0!</v>
      </c>
      <c r="AO76" s="35" t="e">
        <f t="shared" si="47"/>
        <v>#DIV/0!</v>
      </c>
    </row>
    <row r="77" spans="1:41">
      <c r="A77">
        <f t="shared" ref="A77:A95" si="48">A76+1</f>
        <v>2006</v>
      </c>
      <c r="G77" s="30"/>
      <c r="H77" s="30">
        <v>355782.94442548201</v>
      </c>
      <c r="I77" s="30">
        <f t="shared" si="32"/>
        <v>124.54275559635649</v>
      </c>
      <c r="J77" s="30">
        <v>16084329.410827523</v>
      </c>
      <c r="K77" s="30">
        <f t="shared" si="33"/>
        <v>128.90837414419192</v>
      </c>
      <c r="L77" s="30">
        <f t="shared" si="34"/>
        <v>96.613394143849632</v>
      </c>
      <c r="N77">
        <v>3.0777499999999995</v>
      </c>
      <c r="O77">
        <v>1.2089395898827904</v>
      </c>
      <c r="P77" s="34">
        <f t="shared" si="36"/>
        <v>96.613394143849632</v>
      </c>
      <c r="Q77">
        <v>144.27252737188527</v>
      </c>
      <c r="R77">
        <v>156.92361910589923</v>
      </c>
      <c r="S77">
        <v>1.3954825547957348</v>
      </c>
      <c r="T77" s="16">
        <v>93.028999999999996</v>
      </c>
      <c r="V77" s="49">
        <f t="shared" si="28"/>
        <v>3.9017059575535264</v>
      </c>
      <c r="W77" s="8">
        <f t="shared" si="35"/>
        <v>1.2677137381377717</v>
      </c>
      <c r="X77" s="8">
        <f t="shared" si="37"/>
        <v>1.3835014437330386</v>
      </c>
      <c r="Y77" s="50">
        <f t="shared" si="38"/>
        <v>4.2580715684493589</v>
      </c>
      <c r="Z77" s="57">
        <f t="shared" si="29"/>
        <v>2.6528808352628857</v>
      </c>
      <c r="AA77" s="8">
        <f>Z77/N77</f>
        <v>0.8619546211560023</v>
      </c>
      <c r="AB77" s="8">
        <f t="shared" si="39"/>
        <v>0.94068197490188754</v>
      </c>
      <c r="AC77" s="50">
        <f t="shared" si="40"/>
        <v>2.8951839482542838</v>
      </c>
      <c r="AD77" s="57">
        <f t="shared" si="30"/>
        <v>2.3053182187730172</v>
      </c>
      <c r="AE77" s="8">
        <f>AD77/N77</f>
        <v>0.74902712006271388</v>
      </c>
      <c r="AF77" s="8">
        <f t="shared" si="41"/>
        <v>0.81744014506321017</v>
      </c>
      <c r="AG77" s="50">
        <f t="shared" si="42"/>
        <v>2.5158764064682946</v>
      </c>
      <c r="AH77" s="49">
        <f t="shared" si="31"/>
        <v>2.5475393072846373</v>
      </c>
      <c r="AI77" s="8">
        <f>AH77/N77</f>
        <v>0.82772782301507197</v>
      </c>
      <c r="AJ77" s="8">
        <f t="shared" si="43"/>
        <v>0.90710205099579899</v>
      </c>
      <c r="AK77" s="50">
        <f t="shared" si="44"/>
        <v>2.7918333374523199</v>
      </c>
      <c r="AM77" s="35" t="e">
        <f t="shared" si="45"/>
        <v>#DIV/0!</v>
      </c>
      <c r="AN77" s="35" t="e">
        <f t="shared" si="46"/>
        <v>#DIV/0!</v>
      </c>
      <c r="AO77" s="35" t="e">
        <f t="shared" si="47"/>
        <v>#DIV/0!</v>
      </c>
    </row>
    <row r="78" spans="1:41">
      <c r="A78">
        <f t="shared" si="48"/>
        <v>2007</v>
      </c>
      <c r="G78" s="30"/>
      <c r="H78" s="30">
        <v>387830.62994694279</v>
      </c>
      <c r="I78" s="30">
        <f t="shared" si="32"/>
        <v>135.7611322157679</v>
      </c>
      <c r="J78" s="30">
        <v>16405582.559114195</v>
      </c>
      <c r="K78" s="30">
        <f t="shared" si="33"/>
        <v>131.48306780885042</v>
      </c>
      <c r="L78" s="30">
        <f t="shared" si="34"/>
        <v>103.25369987041746</v>
      </c>
      <c r="N78">
        <v>3.1191666666666666</v>
      </c>
      <c r="O78">
        <v>1.4301885530069212</v>
      </c>
      <c r="P78" s="34">
        <f t="shared" si="36"/>
        <v>103.25369987041746</v>
      </c>
      <c r="Q78">
        <v>154.8734635250496</v>
      </c>
      <c r="R78">
        <v>168.454380012596</v>
      </c>
      <c r="S78">
        <v>1.4352525517834864</v>
      </c>
      <c r="T78" s="16">
        <v>93.396000000000001</v>
      </c>
      <c r="V78" s="49">
        <f t="shared" si="28"/>
        <v>4.2158093184524432</v>
      </c>
      <c r="W78" s="8">
        <f t="shared" si="35"/>
        <v>1.3515819348498348</v>
      </c>
      <c r="X78" s="8">
        <f t="shared" si="37"/>
        <v>1.4750298130673274</v>
      </c>
      <c r="Y78" s="50">
        <f t="shared" si="38"/>
        <v>4.6008638252591716</v>
      </c>
      <c r="Z78" s="57">
        <f t="shared" si="29"/>
        <v>2.8537707151482068</v>
      </c>
      <c r="AA78" s="8">
        <f>Z78/N78</f>
        <v>0.91491446918991404</v>
      </c>
      <c r="AB78" s="8">
        <f t="shared" si="39"/>
        <v>0.9984789554114073</v>
      </c>
      <c r="AC78" s="50">
        <f t="shared" si="40"/>
        <v>3.1144222750874144</v>
      </c>
      <c r="AD78" s="57">
        <f t="shared" si="30"/>
        <v>2.4798853108117447</v>
      </c>
      <c r="AE78" s="8">
        <f>AD78/N78</f>
        <v>0.79504738791720375</v>
      </c>
      <c r="AF78" s="8">
        <f t="shared" si="41"/>
        <v>0.86766371297310418</v>
      </c>
      <c r="AG78" s="50">
        <f t="shared" si="42"/>
        <v>2.7063877313819407</v>
      </c>
      <c r="AH78" s="49">
        <f t="shared" si="31"/>
        <v>2.9302567526321242</v>
      </c>
      <c r="AI78" s="8">
        <f>AH78/N78</f>
        <v>0.9394357742876166</v>
      </c>
      <c r="AJ78" s="8">
        <f t="shared" si="43"/>
        <v>1.0295221375198433</v>
      </c>
      <c r="AK78" s="50">
        <f t="shared" si="44"/>
        <v>3.2112511339473113</v>
      </c>
      <c r="AM78" s="35" t="e">
        <f t="shared" si="45"/>
        <v>#DIV/0!</v>
      </c>
      <c r="AN78" s="35" t="e">
        <f t="shared" si="46"/>
        <v>#DIV/0!</v>
      </c>
      <c r="AO78" s="35" t="e">
        <f t="shared" si="47"/>
        <v>#DIV/0!</v>
      </c>
    </row>
    <row r="79" spans="1:41">
      <c r="A79">
        <f t="shared" si="48"/>
        <v>2008</v>
      </c>
      <c r="G79" s="30"/>
      <c r="H79" s="30">
        <v>403565.82264631486</v>
      </c>
      <c r="I79" s="30">
        <f t="shared" si="32"/>
        <v>141.26927781219047</v>
      </c>
      <c r="J79" s="30">
        <v>16578581.788010141</v>
      </c>
      <c r="K79" s="30">
        <f t="shared" si="33"/>
        <v>132.86957567968295</v>
      </c>
      <c r="L79" s="30">
        <f t="shared" si="34"/>
        <v>106.32176485063609</v>
      </c>
      <c r="N79">
        <v>3.1831666666666667</v>
      </c>
      <c r="O79">
        <v>1.8171998268522611</v>
      </c>
      <c r="P79" s="34">
        <f t="shared" si="36"/>
        <v>106.32176485063609</v>
      </c>
      <c r="Q79">
        <v>155.51685957128788</v>
      </c>
      <c r="R79">
        <v>169.15405140504745</v>
      </c>
      <c r="S79">
        <v>1.4902709664236544</v>
      </c>
      <c r="T79" s="16">
        <v>94.394000000000005</v>
      </c>
      <c r="V79" s="49">
        <f t="shared" si="28"/>
        <v>5.0635254224410966</v>
      </c>
      <c r="W79" s="8">
        <f t="shared" si="35"/>
        <v>1.5907195421041196</v>
      </c>
      <c r="X79" s="8">
        <f t="shared" si="37"/>
        <v>1.7360092557711437</v>
      </c>
      <c r="Y79" s="50">
        <f t="shared" si="38"/>
        <v>5.5260067959955128</v>
      </c>
      <c r="Z79" s="57">
        <f t="shared" si="29"/>
        <v>3.5148532693262786</v>
      </c>
      <c r="AA79" s="8">
        <f>Z79/N79</f>
        <v>1.1042001997988204</v>
      </c>
      <c r="AB79" s="8">
        <f t="shared" si="39"/>
        <v>1.2050532581875004</v>
      </c>
      <c r="AC79" s="50">
        <f t="shared" si="40"/>
        <v>3.8358853630205116</v>
      </c>
      <c r="AD79" s="57">
        <f t="shared" si="30"/>
        <v>3.0543590563731096</v>
      </c>
      <c r="AE79" s="8">
        <f>AD79/N79</f>
        <v>0.95953475774850294</v>
      </c>
      <c r="AF79" s="8">
        <f t="shared" si="41"/>
        <v>1.0471746757333114</v>
      </c>
      <c r="AG79" s="50">
        <f t="shared" si="42"/>
        <v>3.3333315219717523</v>
      </c>
      <c r="AH79" s="49">
        <f t="shared" si="31"/>
        <v>3.5857346802400349</v>
      </c>
      <c r="AI79" s="8">
        <f>AH79/N79</f>
        <v>1.1264677774459506</v>
      </c>
      <c r="AJ79" s="8">
        <f t="shared" si="43"/>
        <v>1.2344894093082754</v>
      </c>
      <c r="AK79" s="50">
        <f t="shared" si="44"/>
        <v>3.9295855380631255</v>
      </c>
      <c r="AM79" s="35" t="e">
        <f t="shared" si="45"/>
        <v>#DIV/0!</v>
      </c>
      <c r="AN79" s="35" t="e">
        <f t="shared" si="46"/>
        <v>#DIV/0!</v>
      </c>
      <c r="AO79" s="35" t="e">
        <f t="shared" si="47"/>
        <v>#DIV/0!</v>
      </c>
    </row>
    <row r="80" spans="1:41">
      <c r="A80">
        <f t="shared" si="48"/>
        <v>2009</v>
      </c>
      <c r="G80" s="30"/>
      <c r="H80" s="30">
        <v>379680.67821726709</v>
      </c>
      <c r="I80" s="30">
        <f t="shared" si="32"/>
        <v>132.90822017404494</v>
      </c>
      <c r="J80" s="30">
        <v>16786650.183835611</v>
      </c>
      <c r="K80" s="30">
        <f t="shared" si="33"/>
        <v>134.53714651409993</v>
      </c>
      <c r="L80" s="30">
        <f t="shared" si="34"/>
        <v>98.78923674073593</v>
      </c>
      <c r="N80">
        <v>3.75</v>
      </c>
      <c r="O80">
        <v>2.0822573595387337</v>
      </c>
      <c r="P80" s="34">
        <f t="shared" si="36"/>
        <v>98.78923674073593</v>
      </c>
      <c r="Q80">
        <v>136.68538635328446</v>
      </c>
      <c r="R80">
        <v>154.23329234769434</v>
      </c>
      <c r="S80">
        <v>1.4851001953895027</v>
      </c>
      <c r="T80" s="16">
        <v>95.432000000000002</v>
      </c>
      <c r="V80" s="49">
        <f t="shared" si="28"/>
        <v>6.3351424043353255</v>
      </c>
      <c r="W80" s="8">
        <f t="shared" si="35"/>
        <v>1.6893713078227535</v>
      </c>
      <c r="X80" s="8">
        <f t="shared" si="37"/>
        <v>1.8436714638805509</v>
      </c>
      <c r="Y80" s="50">
        <f t="shared" si="38"/>
        <v>6.9137679895520661</v>
      </c>
      <c r="Z80" s="57">
        <f t="shared" si="29"/>
        <v>4.6489345576396444</v>
      </c>
      <c r="AA80" s="8">
        <f>Z80/N80</f>
        <v>1.2397158820372385</v>
      </c>
      <c r="AB80" s="8">
        <f t="shared" si="39"/>
        <v>1.3529463797850703</v>
      </c>
      <c r="AC80" s="50">
        <f t="shared" si="40"/>
        <v>5.0735489241940135</v>
      </c>
      <c r="AD80" s="57">
        <f t="shared" si="30"/>
        <v>3.8941726653003497</v>
      </c>
      <c r="AE80" s="8">
        <f>AD80/N80</f>
        <v>1.0384460440800933</v>
      </c>
      <c r="AF80" s="8">
        <f t="shared" si="41"/>
        <v>1.1332933910885297</v>
      </c>
      <c r="AG80" s="50">
        <f t="shared" si="42"/>
        <v>4.2498502165819865</v>
      </c>
      <c r="AH80" s="49">
        <f t="shared" si="31"/>
        <v>4.1230571622590499</v>
      </c>
      <c r="AI80" s="8">
        <f>AH80/N80</f>
        <v>1.0994819099357467</v>
      </c>
      <c r="AJ80" s="8">
        <f t="shared" si="43"/>
        <v>1.2049157558852939</v>
      </c>
      <c r="AK80" s="50">
        <f t="shared" si="44"/>
        <v>4.5184340845698516</v>
      </c>
      <c r="AM80" s="35" t="e">
        <f t="shared" si="45"/>
        <v>#DIV/0!</v>
      </c>
      <c r="AN80" s="35" t="e">
        <f t="shared" si="46"/>
        <v>#DIV/0!</v>
      </c>
      <c r="AO80" s="35" t="e">
        <f t="shared" si="47"/>
        <v>#DIV/0!</v>
      </c>
    </row>
    <row r="81" spans="1:41">
      <c r="A81">
        <f t="shared" si="48"/>
        <v>2010</v>
      </c>
      <c r="G81" s="30"/>
      <c r="H81" s="30">
        <v>418124.8586257706</v>
      </c>
      <c r="I81" s="30">
        <f t="shared" si="32"/>
        <v>146.3657066548825</v>
      </c>
      <c r="J81" s="30">
        <v>17009648.704000056</v>
      </c>
      <c r="K81" s="30">
        <f t="shared" si="33"/>
        <v>136.32437530907896</v>
      </c>
      <c r="L81" s="30">
        <f t="shared" si="34"/>
        <v>107.36576369635841</v>
      </c>
      <c r="N81">
        <v>3.89</v>
      </c>
      <c r="O81">
        <v>2.5630419478498032</v>
      </c>
      <c r="P81" s="34">
        <f t="shared" si="36"/>
        <v>107.36576369635841</v>
      </c>
      <c r="Q81">
        <v>145.83816940799227</v>
      </c>
      <c r="R81">
        <v>161.59825292150518</v>
      </c>
      <c r="S81">
        <v>1.5094977244430594</v>
      </c>
      <c r="T81" s="16">
        <v>99.373000000000005</v>
      </c>
      <c r="V81" s="49">
        <f t="shared" si="28"/>
        <v>7.3505387336036838</v>
      </c>
      <c r="W81" s="8">
        <f t="shared" si="35"/>
        <v>1.8895986461706127</v>
      </c>
      <c r="X81" s="8">
        <f t="shared" si="37"/>
        <v>2.0621867353849934</v>
      </c>
      <c r="Y81" s="50">
        <f t="shared" si="38"/>
        <v>8.0219064006476248</v>
      </c>
      <c r="Z81" s="57">
        <f t="shared" si="29"/>
        <v>5.494438156683402</v>
      </c>
      <c r="AA81" s="8">
        <f>Z81/N81</f>
        <v>1.412451968299075</v>
      </c>
      <c r="AB81" s="8">
        <f t="shared" si="39"/>
        <v>1.5414594624618423</v>
      </c>
      <c r="AC81" s="50">
        <f t="shared" si="40"/>
        <v>5.9962773089765671</v>
      </c>
      <c r="AD81" s="57">
        <f t="shared" si="30"/>
        <v>4.6867916612159624</v>
      </c>
      <c r="AE81" s="8">
        <f>AD81/N81</f>
        <v>1.2048307612380365</v>
      </c>
      <c r="AF81" s="8">
        <f t="shared" si="41"/>
        <v>1.3148749969968745</v>
      </c>
      <c r="AG81" s="50">
        <f t="shared" si="42"/>
        <v>5.1148637383178421</v>
      </c>
      <c r="AH81" s="49">
        <f t="shared" si="31"/>
        <v>4.9930274865473994</v>
      </c>
      <c r="AI81" s="8">
        <f>AH81/N81</f>
        <v>1.2835546237911053</v>
      </c>
      <c r="AJ81" s="8">
        <f t="shared" si="43"/>
        <v>1.4066399599386814</v>
      </c>
      <c r="AK81" s="50">
        <f t="shared" si="44"/>
        <v>5.4718294441614708</v>
      </c>
      <c r="AM81" s="35" t="e">
        <f t="shared" si="45"/>
        <v>#DIV/0!</v>
      </c>
      <c r="AN81" s="35" t="e">
        <f t="shared" si="46"/>
        <v>#DIV/0!</v>
      </c>
      <c r="AO81" s="35" t="e">
        <f t="shared" si="47"/>
        <v>#DIV/0!</v>
      </c>
    </row>
    <row r="82" spans="1:41">
      <c r="A82">
        <f t="shared" si="48"/>
        <v>2011</v>
      </c>
      <c r="G82" s="30"/>
      <c r="H82" s="30">
        <v>443228.87313849147</v>
      </c>
      <c r="I82" s="30">
        <f t="shared" si="32"/>
        <v>155.15343297210066</v>
      </c>
      <c r="J82" s="30">
        <v>17455592.365526415</v>
      </c>
      <c r="K82" s="30">
        <f t="shared" si="33"/>
        <v>139.8984050929115</v>
      </c>
      <c r="L82" s="30">
        <f t="shared" si="34"/>
        <v>110.90436153940264</v>
      </c>
      <c r="N82">
        <v>4.1100000000000003</v>
      </c>
      <c r="O82">
        <v>3.1636716810305039</v>
      </c>
      <c r="P82" s="34">
        <f t="shared" si="36"/>
        <v>110.90436153940264</v>
      </c>
      <c r="Q82">
        <v>150.39454419822803</v>
      </c>
      <c r="R82">
        <v>164.73474532047646</v>
      </c>
      <c r="S82">
        <v>1.5570928265565678</v>
      </c>
      <c r="T82" s="16">
        <v>99.141000000000005</v>
      </c>
      <c r="V82" s="49">
        <f t="shared" si="28"/>
        <v>8.4952254295629359</v>
      </c>
      <c r="W82" s="8">
        <f t="shared" si="35"/>
        <v>2.0669648247111763</v>
      </c>
      <c r="X82" s="8">
        <f t="shared" si="37"/>
        <v>2.2557528037315793</v>
      </c>
      <c r="Y82" s="50">
        <f t="shared" si="38"/>
        <v>9.2711440233367917</v>
      </c>
      <c r="Z82" s="57">
        <f t="shared" si="29"/>
        <v>6.3606420757528985</v>
      </c>
      <c r="AA82" s="8">
        <f>Z82/N82</f>
        <v>1.5476014782853766</v>
      </c>
      <c r="AB82" s="8">
        <f t="shared" si="39"/>
        <v>1.6889529671552026</v>
      </c>
      <c r="AC82" s="50">
        <f t="shared" si="40"/>
        <v>6.9415966950078829</v>
      </c>
      <c r="AD82" s="57">
        <f t="shared" si="30"/>
        <v>5.4886513788701219</v>
      </c>
      <c r="AE82" s="8">
        <f>AD82/N82</f>
        <v>1.3354382916958933</v>
      </c>
      <c r="AF82" s="8">
        <f t="shared" si="41"/>
        <v>1.4574116766232132</v>
      </c>
      <c r="AG82" s="50">
        <f t="shared" si="42"/>
        <v>5.9899619909214072</v>
      </c>
      <c r="AH82" s="49">
        <f t="shared" si="31"/>
        <v>5.9747207049306974</v>
      </c>
      <c r="AI82" s="8">
        <f>AH82/N82</f>
        <v>1.4537033345330164</v>
      </c>
      <c r="AJ82" s="8">
        <f t="shared" si="43"/>
        <v>1.593104930907125</v>
      </c>
      <c r="AK82" s="50">
        <f t="shared" si="44"/>
        <v>6.5476612660282845</v>
      </c>
      <c r="AM82" s="35" t="e">
        <f t="shared" si="45"/>
        <v>#DIV/0!</v>
      </c>
      <c r="AN82" s="35" t="e">
        <f t="shared" si="46"/>
        <v>#DIV/0!</v>
      </c>
      <c r="AO82" s="35" t="e">
        <f t="shared" si="47"/>
        <v>#DIV/0!</v>
      </c>
    </row>
    <row r="83" spans="1:41">
      <c r="A83">
        <f t="shared" si="48"/>
        <v>2012</v>
      </c>
      <c r="G83" s="30"/>
      <c r="H83" s="30">
        <v>438679.48128633556</v>
      </c>
      <c r="I83" s="30">
        <f t="shared" si="32"/>
        <v>153.56090638690966</v>
      </c>
      <c r="J83" s="30">
        <v>17611928.636010434</v>
      </c>
      <c r="K83" s="30">
        <f t="shared" si="33"/>
        <v>141.15136714890463</v>
      </c>
      <c r="L83" s="30">
        <f t="shared" si="34"/>
        <v>108.79165359051312</v>
      </c>
      <c r="N83">
        <v>4.5525185190000004</v>
      </c>
      <c r="O83">
        <v>3.9120057032833038</v>
      </c>
      <c r="P83" s="34">
        <f t="shared" si="36"/>
        <v>108.79165359051312</v>
      </c>
      <c r="Q83">
        <v>138.07465970786836</v>
      </c>
      <c r="R83">
        <v>162.69797402243827</v>
      </c>
      <c r="S83">
        <v>1.5893562123039116</v>
      </c>
      <c r="T83" s="16">
        <v>100</v>
      </c>
      <c r="V83" s="49">
        <f t="shared" si="28"/>
        <v>10.582200678369921</v>
      </c>
      <c r="W83" s="8">
        <f t="shared" si="35"/>
        <v>2.3244717477161174</v>
      </c>
      <c r="X83" s="8">
        <f t="shared" si="37"/>
        <v>2.5367793391637217</v>
      </c>
      <c r="Y83" s="50">
        <f t="shared" si="38"/>
        <v>11.548734920159426</v>
      </c>
      <c r="Z83" s="57">
        <f t="shared" si="29"/>
        <v>8.465782280318173</v>
      </c>
      <c r="AA83" s="8">
        <f>Z83/N83</f>
        <v>1.8595821730293047</v>
      </c>
      <c r="AB83" s="8">
        <f t="shared" si="39"/>
        <v>2.0294286823029335</v>
      </c>
      <c r="AC83" s="50">
        <f t="shared" si="40"/>
        <v>9.2390116591738725</v>
      </c>
      <c r="AD83" s="57">
        <f t="shared" si="30"/>
        <v>6.7907344494530806</v>
      </c>
      <c r="AE83" s="8">
        <f>AD83/N83</f>
        <v>1.4916434543015815</v>
      </c>
      <c r="AF83" s="8">
        <f t="shared" si="41"/>
        <v>1.6278839697617116</v>
      </c>
      <c r="AG83" s="50">
        <f t="shared" si="42"/>
        <v>7.4109719191234289</v>
      </c>
      <c r="AH83" s="49">
        <f t="shared" si="31"/>
        <v>7.2380060354341849</v>
      </c>
      <c r="AI83" s="8">
        <f>AH83/N83</f>
        <v>1.5898905199893782</v>
      </c>
      <c r="AJ83" s="8">
        <f t="shared" si="43"/>
        <v>1.7423516661404792</v>
      </c>
      <c r="AK83" s="50">
        <f t="shared" si="44"/>
        <v>7.9320882267150372</v>
      </c>
      <c r="AM83" s="35" t="e">
        <f t="shared" si="45"/>
        <v>#DIV/0!</v>
      </c>
      <c r="AN83" s="35" t="e">
        <f t="shared" si="46"/>
        <v>#DIV/0!</v>
      </c>
      <c r="AO83" s="35" t="e">
        <f t="shared" si="47"/>
        <v>#DIV/0!</v>
      </c>
    </row>
    <row r="84" spans="1:41">
      <c r="A84">
        <f t="shared" si="48"/>
        <v>2013</v>
      </c>
      <c r="G84" s="30"/>
      <c r="H84" s="30">
        <v>449231.14319915109</v>
      </c>
      <c r="I84" s="30">
        <f t="shared" si="32"/>
        <v>157.25454339602834</v>
      </c>
      <c r="J84" s="30">
        <v>17759122.521480378</v>
      </c>
      <c r="K84" s="30">
        <f t="shared" si="33"/>
        <v>142.33105726686031</v>
      </c>
      <c r="L84" s="30">
        <f t="shared" si="34"/>
        <v>110.48505253578465</v>
      </c>
      <c r="N84">
        <v>5.49</v>
      </c>
      <c r="O84">
        <v>4.9091424414151597</v>
      </c>
      <c r="P84" s="34">
        <f t="shared" si="36"/>
        <v>110.48505253578465</v>
      </c>
      <c r="Q84">
        <v>138.02823459461194</v>
      </c>
      <c r="R84">
        <v>160.76764721316422</v>
      </c>
      <c r="S84">
        <v>1.6126492796378304</v>
      </c>
      <c r="T84" s="16">
        <v>100.833</v>
      </c>
      <c r="V84" s="49">
        <f t="shared" si="28"/>
        <v>12.99445903253439</v>
      </c>
      <c r="W84" s="8">
        <f t="shared" si="35"/>
        <v>2.3669324285126394</v>
      </c>
      <c r="X84" s="8">
        <f t="shared" si="37"/>
        <v>2.5831182021235644</v>
      </c>
      <c r="Y84" s="50">
        <f t="shared" si="38"/>
        <v>14.181318929658369</v>
      </c>
      <c r="Z84" s="57">
        <f t="shared" si="29"/>
        <v>10.560957702661023</v>
      </c>
      <c r="AA84" s="8">
        <f>Z84/N84</f>
        <v>1.9236717126887108</v>
      </c>
      <c r="AB84" s="8">
        <f t="shared" si="39"/>
        <v>2.0993718942280677</v>
      </c>
      <c r="AC84" s="50">
        <f t="shared" si="40"/>
        <v>11.525551699312093</v>
      </c>
      <c r="AD84" s="57">
        <f t="shared" si="30"/>
        <v>8.570188937854601</v>
      </c>
      <c r="AE84" s="8">
        <f>AD84/N84</f>
        <v>1.5610544513396358</v>
      </c>
      <c r="AF84" s="8">
        <f t="shared" si="41"/>
        <v>1.7036346788722423</v>
      </c>
      <c r="AG84" s="50">
        <f t="shared" si="42"/>
        <v>9.3529543870086105</v>
      </c>
      <c r="AH84" s="49">
        <f t="shared" si="31"/>
        <v>8.9517184044971483</v>
      </c>
      <c r="AI84" s="8">
        <f>AH84/N84</f>
        <v>1.630549800454854</v>
      </c>
      <c r="AJ84" s="8">
        <f t="shared" si="43"/>
        <v>1.7869099323685009</v>
      </c>
      <c r="AK84" s="50">
        <f t="shared" si="44"/>
        <v>9.8101355287030714</v>
      </c>
      <c r="AM84" s="35" t="e">
        <f t="shared" si="45"/>
        <v>#DIV/0!</v>
      </c>
      <c r="AN84" s="35" t="e">
        <f t="shared" si="46"/>
        <v>#DIV/0!</v>
      </c>
      <c r="AO84" s="35" t="e">
        <f t="shared" si="47"/>
        <v>#DIV/0!</v>
      </c>
    </row>
    <row r="85" spans="1:41">
      <c r="A85">
        <f t="shared" si="48"/>
        <v>2014</v>
      </c>
      <c r="G85" s="30"/>
      <c r="H85" s="30">
        <v>437943.69264470553</v>
      </c>
      <c r="I85" s="30">
        <f t="shared" si="32"/>
        <v>153.3033416373878</v>
      </c>
      <c r="J85" s="30">
        <v>17518264.769352503</v>
      </c>
      <c r="K85" s="30">
        <f t="shared" si="33"/>
        <v>140.40069508427976</v>
      </c>
      <c r="L85" s="30">
        <f t="shared" si="34"/>
        <v>109.18987370066995</v>
      </c>
      <c r="N85">
        <v>8.1235999999999997</v>
      </c>
      <c r="O85">
        <v>6.802796220329471</v>
      </c>
      <c r="P85" s="34">
        <f t="shared" si="36"/>
        <v>109.18987370066995</v>
      </c>
      <c r="Q85">
        <v>135.04193603910971</v>
      </c>
      <c r="R85">
        <v>158.33275087835915</v>
      </c>
      <c r="S85">
        <v>1.6387851168156911</v>
      </c>
      <c r="T85" s="16">
        <v>101.43600000000001</v>
      </c>
      <c r="V85" s="49">
        <f t="shared" si="28"/>
        <v>18.037175775031503</v>
      </c>
      <c r="W85" s="8">
        <f t="shared" si="35"/>
        <v>2.220342677511387</v>
      </c>
      <c r="X85" s="8">
        <f t="shared" si="37"/>
        <v>2.4231395523342072</v>
      </c>
      <c r="Y85" s="50">
        <f t="shared" si="38"/>
        <v>19.684616467342163</v>
      </c>
      <c r="Z85" s="57">
        <f t="shared" si="29"/>
        <v>14.807841301983634</v>
      </c>
      <c r="AA85" s="8">
        <f>Z85/N85</f>
        <v>1.8228176303589092</v>
      </c>
      <c r="AB85" s="8">
        <f t="shared" si="39"/>
        <v>1.9893062190586728</v>
      </c>
      <c r="AC85" s="50">
        <f t="shared" si="40"/>
        <v>16.160328001145032</v>
      </c>
      <c r="AD85" s="57">
        <f t="shared" si="30"/>
        <v>11.937337306278257</v>
      </c>
      <c r="AE85" s="8">
        <f>AD85/N85</f>
        <v>1.4694639453294422</v>
      </c>
      <c r="AF85" s="8">
        <f t="shared" si="41"/>
        <v>1.6036786765940911</v>
      </c>
      <c r="AG85" s="50">
        <f t="shared" si="42"/>
        <v>13.027644097179758</v>
      </c>
      <c r="AH85" s="49">
        <f t="shared" si="31"/>
        <v>12.206921621512228</v>
      </c>
      <c r="AI85" s="8">
        <f>AH85/N85</f>
        <v>1.5026492714452002</v>
      </c>
      <c r="AJ85" s="8">
        <f t="shared" si="43"/>
        <v>1.6467444951774499</v>
      </c>
      <c r="AK85" s="50">
        <f t="shared" si="44"/>
        <v>13.377493581023531</v>
      </c>
      <c r="AM85" s="35" t="e">
        <f t="shared" si="45"/>
        <v>#DIV/0!</v>
      </c>
      <c r="AN85" s="35" t="e">
        <f t="shared" si="46"/>
        <v>#DIV/0!</v>
      </c>
      <c r="AO85" s="35" t="e">
        <f t="shared" si="47"/>
        <v>#DIV/0!</v>
      </c>
    </row>
    <row r="86" spans="1:41">
      <c r="A86">
        <f t="shared" si="48"/>
        <v>2015</v>
      </c>
      <c r="G86" s="30"/>
      <c r="H86" s="30">
        <v>449904.63489593467</v>
      </c>
      <c r="I86" s="30">
        <f t="shared" si="32"/>
        <v>157.49030093613229</v>
      </c>
      <c r="J86" s="30">
        <v>17747973.978095315</v>
      </c>
      <c r="K86" s="30">
        <f t="shared" si="33"/>
        <v>142.24170690818903</v>
      </c>
      <c r="L86" s="30">
        <f t="shared" si="34"/>
        <v>110.72019899043082</v>
      </c>
      <c r="N86">
        <v>9.43</v>
      </c>
      <c r="O86">
        <v>8.5686951195467103</v>
      </c>
      <c r="P86" s="34">
        <f t="shared" si="36"/>
        <v>110.72019899043082</v>
      </c>
      <c r="Q86">
        <v>145.11021592878367</v>
      </c>
      <c r="R86">
        <v>160.55230463482016</v>
      </c>
      <c r="S86">
        <v>1.647</v>
      </c>
      <c r="T86" s="16">
        <v>102.623</v>
      </c>
      <c r="V86" s="49">
        <f t="shared" si="28"/>
        <v>22.554451794386029</v>
      </c>
      <c r="W86" s="8">
        <f t="shared" si="35"/>
        <v>2.3917764363081684</v>
      </c>
      <c r="X86" s="8">
        <f t="shared" si="37"/>
        <v>2.6102313583663292</v>
      </c>
      <c r="Y86" s="50">
        <f t="shared" si="38"/>
        <v>24.614481709394482</v>
      </c>
      <c r="Z86" s="57">
        <f t="shared" si="29"/>
        <v>17.473127692674701</v>
      </c>
      <c r="AA86" s="8">
        <f>Z86/N86</f>
        <v>1.8529297659252071</v>
      </c>
      <c r="AB86" s="8">
        <f t="shared" si="39"/>
        <v>2.0221686719741516</v>
      </c>
      <c r="AC86" s="50">
        <f t="shared" si="40"/>
        <v>19.069050576716251</v>
      </c>
      <c r="AD86" s="57">
        <f t="shared" si="30"/>
        <v>14.926909887191357</v>
      </c>
      <c r="AE86" s="8">
        <f>AD86/N86</f>
        <v>1.5829172732970687</v>
      </c>
      <c r="AF86" s="8">
        <f t="shared" si="41"/>
        <v>1.7274943601490411</v>
      </c>
      <c r="AG86" s="50">
        <f t="shared" si="42"/>
        <v>16.290271816205458</v>
      </c>
      <c r="AH86" s="49">
        <f t="shared" si="31"/>
        <v>15.298956043772254</v>
      </c>
      <c r="AI86" s="8">
        <f>AH86/N86</f>
        <v>1.6223707363491255</v>
      </c>
      <c r="AJ86" s="8">
        <f t="shared" si="43"/>
        <v>1.7779465441396178</v>
      </c>
      <c r="AK86" s="50">
        <f t="shared" si="44"/>
        <v>16.766035911236596</v>
      </c>
      <c r="AM86" s="35" t="e">
        <f t="shared" si="45"/>
        <v>#DIV/0!</v>
      </c>
      <c r="AN86" s="35" t="e">
        <f t="shared" si="46"/>
        <v>#DIV/0!</v>
      </c>
      <c r="AO86" s="35" t="e">
        <f t="shared" si="47"/>
        <v>#DIV/0!</v>
      </c>
    </row>
    <row r="87" spans="1:41">
      <c r="A87">
        <f t="shared" si="48"/>
        <v>2016</v>
      </c>
      <c r="G87" s="30"/>
      <c r="H87" s="30">
        <v>440545.14348179742</v>
      </c>
      <c r="I87" s="30">
        <f t="shared" si="32"/>
        <v>154.21398634612461</v>
      </c>
      <c r="J87" s="30">
        <v>18045270.618091475</v>
      </c>
      <c r="K87" s="30">
        <f t="shared" si="33"/>
        <v>144.62440036848568</v>
      </c>
      <c r="L87" s="30">
        <f t="shared" si="34"/>
        <v>106.63068331015086</v>
      </c>
      <c r="N87">
        <v>14.777446188672441</v>
      </c>
      <c r="O87">
        <v>12.115232433931457</v>
      </c>
      <c r="P87" s="34">
        <f t="shared" si="36"/>
        <v>106.63068331015086</v>
      </c>
      <c r="Q87">
        <v>137.28909182480567</v>
      </c>
      <c r="R87">
        <v>151.66151464047073</v>
      </c>
      <c r="S87">
        <v>1.6677771172531926</v>
      </c>
      <c r="T87" s="16">
        <v>102.211</v>
      </c>
      <c r="V87" s="49">
        <f t="shared" si="28"/>
        <v>32.568857231343252</v>
      </c>
      <c r="W87" s="8">
        <f t="shared" si="35"/>
        <v>2.2039570853797934</v>
      </c>
      <c r="X87" s="8">
        <f t="shared" si="37"/>
        <v>2.4052573682981007</v>
      </c>
      <c r="Y87" s="50">
        <f t="shared" si="38"/>
        <v>35.54356132993307</v>
      </c>
      <c r="Z87" s="57">
        <f t="shared" si="29"/>
        <v>25.683735354583966</v>
      </c>
      <c r="AA87" s="8">
        <f>Z87/N87</f>
        <v>1.7380361279387824</v>
      </c>
      <c r="AB87" s="8">
        <f t="shared" si="39"/>
        <v>1.8967811264676557</v>
      </c>
      <c r="AC87" s="50">
        <f t="shared" si="40"/>
        <v>28.029581028065277</v>
      </c>
      <c r="AD87" s="57">
        <f t="shared" si="30"/>
        <v>21.975392738501181</v>
      </c>
      <c r="AE87" s="8">
        <f>AD87/N87</f>
        <v>1.4870900193394907</v>
      </c>
      <c r="AF87" s="8">
        <f t="shared" si="41"/>
        <v>1.6229146429693309</v>
      </c>
      <c r="AG87" s="50">
        <f t="shared" si="42"/>
        <v>23.982533805287833</v>
      </c>
      <c r="AH87" s="49">
        <f t="shared" si="31"/>
        <v>21.361632791153461</v>
      </c>
      <c r="AI87" s="8">
        <f>AH87/N87</f>
        <v>1.4455564593784878</v>
      </c>
      <c r="AJ87" s="8">
        <f t="shared" si="43"/>
        <v>1.5841768183604661</v>
      </c>
      <c r="AK87" s="50">
        <f t="shared" si="44"/>
        <v>23.410087686664102</v>
      </c>
      <c r="AM87" s="35" t="e">
        <f t="shared" si="45"/>
        <v>#DIV/0!</v>
      </c>
      <c r="AN87" s="35" t="e">
        <f t="shared" si="46"/>
        <v>#DIV/0!</v>
      </c>
      <c r="AO87" s="35" t="e">
        <f t="shared" si="47"/>
        <v>#DIV/0!</v>
      </c>
    </row>
    <row r="88" spans="1:41">
      <c r="A88">
        <f t="shared" si="48"/>
        <v>2017</v>
      </c>
      <c r="G88" s="30"/>
      <c r="H88" s="30">
        <v>452961.92144656955</v>
      </c>
      <c r="I88" s="30">
        <f t="shared" si="32"/>
        <v>158.56051213548756</v>
      </c>
      <c r="J88" s="30">
        <v>18325339.307456434</v>
      </c>
      <c r="K88" s="30">
        <f t="shared" si="33"/>
        <v>146.86901986567332</v>
      </c>
      <c r="L88" s="30">
        <f t="shared" si="34"/>
        <v>107.96048906740666</v>
      </c>
      <c r="N88">
        <v>16.556716666666663</v>
      </c>
      <c r="O88">
        <v>15.333078807395367</v>
      </c>
      <c r="P88" s="34">
        <f t="shared" si="36"/>
        <v>107.96048906740666</v>
      </c>
      <c r="Q88">
        <v>145.40148849519053</v>
      </c>
      <c r="R88">
        <v>156.22925891504519</v>
      </c>
      <c r="S88">
        <v>1.703306682643017</v>
      </c>
      <c r="T88" s="16">
        <v>103.629</v>
      </c>
      <c r="V88" s="49">
        <f t="shared" si="28"/>
        <v>40.415347482141264</v>
      </c>
      <c r="W88" s="8">
        <f t="shared" si="35"/>
        <v>2.4410242861441693</v>
      </c>
      <c r="X88" s="8">
        <f t="shared" si="37"/>
        <v>2.6639773021855881</v>
      </c>
      <c r="Y88" s="50">
        <f t="shared" si="38"/>
        <v>44.106717398717819</v>
      </c>
      <c r="Z88" s="57">
        <f t="shared" si="29"/>
        <v>30.468551899086339</v>
      </c>
      <c r="AA88" s="8">
        <f>Z88/N88</f>
        <v>1.840253264732622</v>
      </c>
      <c r="AB88" s="8">
        <f t="shared" si="39"/>
        <v>2.0083343518324548</v>
      </c>
      <c r="AC88" s="50">
        <f t="shared" si="40"/>
        <v>33.251422835223593</v>
      </c>
      <c r="AD88" s="57">
        <f t="shared" si="30"/>
        <v>26.802549665239059</v>
      </c>
      <c r="AE88" s="8">
        <f>AD88/N88</f>
        <v>1.6188324173717452</v>
      </c>
      <c r="AF88" s="8">
        <f t="shared" si="41"/>
        <v>1.7666898442590313</v>
      </c>
      <c r="AG88" s="50">
        <f t="shared" si="42"/>
        <v>29.250583189274234</v>
      </c>
      <c r="AH88" s="49">
        <f t="shared" si="31"/>
        <v>26.471419040341392</v>
      </c>
      <c r="AI88" s="8">
        <f>AH88/N88</f>
        <v>1.5988326413555061</v>
      </c>
      <c r="AJ88" s="8">
        <f t="shared" si="43"/>
        <v>1.7521512843313012</v>
      </c>
      <c r="AK88" s="50">
        <f t="shared" si="44"/>
        <v>29.009872371809454</v>
      </c>
      <c r="AM88" s="35" t="e">
        <f t="shared" si="45"/>
        <v>#DIV/0!</v>
      </c>
      <c r="AN88" s="35" t="e">
        <f t="shared" si="46"/>
        <v>#DIV/0!</v>
      </c>
      <c r="AO88" s="35" t="e">
        <f t="shared" si="47"/>
        <v>#DIV/0!</v>
      </c>
    </row>
    <row r="89" spans="1:41">
      <c r="A89">
        <f t="shared" si="48"/>
        <v>2018</v>
      </c>
      <c r="G89" s="30"/>
      <c r="H89" s="30">
        <v>441106.112149005</v>
      </c>
      <c r="I89" s="30">
        <f t="shared" si="32"/>
        <v>154.41035490372948</v>
      </c>
      <c r="J89" s="30">
        <v>18631567.144112512</v>
      </c>
      <c r="K89" s="30">
        <f t="shared" si="33"/>
        <v>149.32329268816687</v>
      </c>
      <c r="L89" s="30">
        <f t="shared" si="34"/>
        <v>103.40674393390586</v>
      </c>
      <c r="N89">
        <v>28.112430345117847</v>
      </c>
      <c r="O89">
        <v>20.573685655526166</v>
      </c>
      <c r="P89" s="34">
        <f t="shared" si="36"/>
        <v>103.40674393390586</v>
      </c>
      <c r="Q89">
        <v>173.45821576275918</v>
      </c>
      <c r="R89">
        <v>166.39750141692105</v>
      </c>
      <c r="S89">
        <v>1.7449095592299284</v>
      </c>
      <c r="T89" s="16">
        <v>105</v>
      </c>
      <c r="V89" s="49">
        <f t="shared" si="28"/>
        <v>55.998055859432696</v>
      </c>
      <c r="W89" s="8">
        <f t="shared" si="35"/>
        <v>1.9919322225784586</v>
      </c>
      <c r="X89" s="8">
        <f t="shared" si="37"/>
        <v>2.1738670354743452</v>
      </c>
      <c r="Y89" s="50">
        <f t="shared" si="38"/>
        <v>61.112685614320355</v>
      </c>
      <c r="Z89" s="57">
        <f t="shared" si="29"/>
        <v>33.895062862749064</v>
      </c>
      <c r="AA89" s="8">
        <f>Z89/N89</f>
        <v>1.2056966418997446</v>
      </c>
      <c r="AB89" s="8">
        <f t="shared" si="39"/>
        <v>1.3158199636005603</v>
      </c>
      <c r="AC89" s="50">
        <f t="shared" si="40"/>
        <v>36.990897073436251</v>
      </c>
      <c r="AD89" s="57">
        <f t="shared" si="30"/>
        <v>33.396606055943927</v>
      </c>
      <c r="AE89" s="8">
        <f>AD89/N89</f>
        <v>1.1879658089306304</v>
      </c>
      <c r="AF89" s="8">
        <f t="shared" si="41"/>
        <v>1.2964696700181988</v>
      </c>
      <c r="AG89" s="50">
        <f t="shared" si="42"/>
        <v>36.446913292944537</v>
      </c>
      <c r="AH89" s="49">
        <f t="shared" si="31"/>
        <v>34.672079001279108</v>
      </c>
      <c r="AI89" s="8">
        <f>AH89/N89</f>
        <v>1.2333362350971711</v>
      </c>
      <c r="AJ89" s="8">
        <f t="shared" si="43"/>
        <v>1.3516059232476827</v>
      </c>
      <c r="AK89" s="50">
        <f t="shared" si="44"/>
        <v>37.99692737134918</v>
      </c>
      <c r="AM89" s="35" t="e">
        <f t="shared" si="45"/>
        <v>#DIV/0!</v>
      </c>
      <c r="AN89" s="35" t="e">
        <f t="shared" si="46"/>
        <v>#DIV/0!</v>
      </c>
      <c r="AO89" s="35" t="e">
        <f t="shared" si="47"/>
        <v>#DIV/0!</v>
      </c>
    </row>
    <row r="90" spans="1:41">
      <c r="A90">
        <f t="shared" si="48"/>
        <v>2019</v>
      </c>
      <c r="G90" s="30"/>
      <c r="H90" s="30">
        <v>432280.19197342935</v>
      </c>
      <c r="I90" s="30">
        <f t="shared" si="32"/>
        <v>151.32081832935921</v>
      </c>
      <c r="J90" s="30">
        <v>19020578.112555701</v>
      </c>
      <c r="K90" s="30">
        <f t="shared" si="33"/>
        <v>152.44103357654436</v>
      </c>
      <c r="L90" s="30">
        <f t="shared" si="34"/>
        <v>99.265148483382163</v>
      </c>
      <c r="N90">
        <v>48.254858333333338</v>
      </c>
      <c r="O90">
        <v>31.619053730324666</v>
      </c>
      <c r="P90" s="34">
        <f t="shared" si="36"/>
        <v>99.265148483382163</v>
      </c>
      <c r="Q90">
        <v>165.71722329787011</v>
      </c>
      <c r="R90">
        <v>169.0650459907564</v>
      </c>
      <c r="S90">
        <v>1.7765269115717437</v>
      </c>
      <c r="T90" s="16">
        <v>106.65900000000001</v>
      </c>
      <c r="V90" s="49">
        <f t="shared" si="28"/>
        <v>89.448100905251209</v>
      </c>
      <c r="W90" s="8">
        <f t="shared" si="35"/>
        <v>1.8536600042914753</v>
      </c>
      <c r="X90" s="8">
        <f t="shared" si="37"/>
        <v>2.0229656072787146</v>
      </c>
      <c r="Y90" s="50">
        <f t="shared" si="38"/>
        <v>97.617918792440022</v>
      </c>
      <c r="Z90" s="57">
        <f t="shared" si="29"/>
        <v>54.401362755370613</v>
      </c>
      <c r="AA90" s="8">
        <f>Z90/N90</f>
        <v>1.1273758671008554</v>
      </c>
      <c r="AB90" s="8">
        <f t="shared" si="39"/>
        <v>1.2303456946479132</v>
      </c>
      <c r="AC90" s="50">
        <f t="shared" si="40"/>
        <v>59.370157196261651</v>
      </c>
      <c r="AD90" s="57">
        <f t="shared" si="30"/>
        <v>50.401262552769836</v>
      </c>
      <c r="AE90" s="8">
        <f>AD90/N90</f>
        <v>1.0444805827552044</v>
      </c>
      <c r="AF90" s="8">
        <f t="shared" si="41"/>
        <v>1.139879099453214</v>
      </c>
      <c r="AG90" s="50">
        <f t="shared" si="42"/>
        <v>55.004704461242426</v>
      </c>
      <c r="AH90" s="49">
        <f t="shared" si="31"/>
        <v>52.338079584522625</v>
      </c>
      <c r="AI90" s="8">
        <f>AH90/N90</f>
        <v>1.0846178269343025</v>
      </c>
      <c r="AJ90" s="8">
        <f t="shared" si="43"/>
        <v>1.1886262947824062</v>
      </c>
      <c r="AK90" s="50">
        <f t="shared" si="44"/>
        <v>57.356993465999921</v>
      </c>
      <c r="AM90" s="35" t="e">
        <f t="shared" si="45"/>
        <v>#DIV/0!</v>
      </c>
      <c r="AN90" s="35" t="e">
        <f t="shared" si="46"/>
        <v>#DIV/0!</v>
      </c>
      <c r="AO90" s="35" t="e">
        <f t="shared" si="47"/>
        <v>#DIV/0!</v>
      </c>
    </row>
    <row r="91" spans="1:41">
      <c r="A91">
        <f t="shared" si="48"/>
        <v>2020</v>
      </c>
      <c r="G91" s="30"/>
      <c r="H91" s="30">
        <v>389482.35719134094</v>
      </c>
      <c r="I91" s="30">
        <f t="shared" si="32"/>
        <v>136.3393236825992</v>
      </c>
      <c r="J91" s="30">
        <v>17282307.557305858</v>
      </c>
      <c r="K91" s="30">
        <f t="shared" si="33"/>
        <v>138.50960843741879</v>
      </c>
      <c r="L91" s="30">
        <f t="shared" si="34"/>
        <v>98.433116099811841</v>
      </c>
      <c r="N91">
        <v>70.634765241702738</v>
      </c>
      <c r="O91">
        <v>44.888811953675251</v>
      </c>
      <c r="P91" s="34">
        <f t="shared" si="36"/>
        <v>98.433116099811841</v>
      </c>
      <c r="Q91">
        <v>136.94192569812748</v>
      </c>
      <c r="R91">
        <v>143.86023992359009</v>
      </c>
      <c r="S91">
        <v>1.798445995106134</v>
      </c>
      <c r="T91" s="16">
        <v>110.48699999999999</v>
      </c>
      <c r="V91" s="49">
        <f t="shared" si="28"/>
        <v>131.04003293165945</v>
      </c>
      <c r="W91" s="8">
        <f t="shared" si="35"/>
        <v>1.8551775812272888</v>
      </c>
      <c r="X91" s="8">
        <f t="shared" si="37"/>
        <v>2.0246217933864381</v>
      </c>
      <c r="Y91" s="50">
        <f t="shared" si="38"/>
        <v>143.00868507908623</v>
      </c>
      <c r="Z91" s="57">
        <f t="shared" si="29"/>
        <v>95.63531715227893</v>
      </c>
      <c r="AA91" s="8">
        <f>Z91/N91</f>
        <v>1.3539411764876352</v>
      </c>
      <c r="AB91" s="8">
        <f t="shared" si="39"/>
        <v>1.4776045380338696</v>
      </c>
      <c r="AC91" s="50">
        <f t="shared" si="40"/>
        <v>104.370249664097</v>
      </c>
      <c r="AD91" s="57">
        <f t="shared" si="30"/>
        <v>86.046214496636026</v>
      </c>
      <c r="AE91" s="8">
        <f>AD91/N91</f>
        <v>1.2181850424815226</v>
      </c>
      <c r="AF91" s="8">
        <f t="shared" si="41"/>
        <v>1.3294490028032013</v>
      </c>
      <c r="AG91" s="50">
        <f t="shared" si="42"/>
        <v>93.905318213819925</v>
      </c>
      <c r="AH91" s="49">
        <f t="shared" si="31"/>
        <v>73.397525021969869</v>
      </c>
      <c r="AI91" s="8">
        <f>AH91/N91</f>
        <v>1.0391133143971434</v>
      </c>
      <c r="AJ91" s="8">
        <f t="shared" si="43"/>
        <v>1.138758167235763</v>
      </c>
      <c r="AK91" s="50">
        <f t="shared" si="44"/>
        <v>80.435915809769782</v>
      </c>
      <c r="AM91" s="35" t="e">
        <f t="shared" si="45"/>
        <v>#DIV/0!</v>
      </c>
      <c r="AN91" s="35" t="e">
        <f t="shared" si="46"/>
        <v>#DIV/0!</v>
      </c>
      <c r="AO91" s="35" t="e">
        <f t="shared" si="47"/>
        <v>#DIV/0!</v>
      </c>
    </row>
    <row r="92" spans="1:41">
      <c r="A92">
        <f t="shared" si="48"/>
        <v>2021</v>
      </c>
      <c r="G92" s="30"/>
      <c r="H92" s="30">
        <v>430151.37271016161</v>
      </c>
      <c r="I92" s="30">
        <f t="shared" si="32"/>
        <v>150.57561954631441</v>
      </c>
      <c r="J92" s="30">
        <v>19372840.82583043</v>
      </c>
      <c r="K92" s="30">
        <f t="shared" si="33"/>
        <v>155.2642543947712</v>
      </c>
      <c r="L92" s="30">
        <f t="shared" si="34"/>
        <v>96.980222610327573</v>
      </c>
      <c r="N92">
        <v>95.093249999999998</v>
      </c>
      <c r="O92">
        <v>66.584087012530901</v>
      </c>
      <c r="P92" s="34">
        <f t="shared" si="36"/>
        <v>96.980222610327573</v>
      </c>
      <c r="Q92">
        <v>122.70088885275025</v>
      </c>
      <c r="R92">
        <v>143.38765027916438</v>
      </c>
      <c r="S92">
        <v>1.8829344496949594</v>
      </c>
      <c r="T92" s="16">
        <v>113.816</v>
      </c>
      <c r="V92" s="49">
        <f t="shared" si="28"/>
        <v>194.11036458317054</v>
      </c>
      <c r="W92" s="8">
        <f t="shared" si="35"/>
        <v>2.041263334497144</v>
      </c>
      <c r="X92" s="8">
        <f t="shared" si="37"/>
        <v>2.2277038461889735</v>
      </c>
      <c r="Y92" s="50">
        <f t="shared" si="38"/>
        <v>211.83959877160962</v>
      </c>
      <c r="Z92" s="57">
        <f t="shared" si="29"/>
        <v>155.77354339387239</v>
      </c>
      <c r="AA92" s="8">
        <f>Z92/N92</f>
        <v>1.6381135716138884</v>
      </c>
      <c r="AB92" s="8">
        <f t="shared" si="39"/>
        <v>1.787732059018043</v>
      </c>
      <c r="AC92" s="50">
        <f t="shared" si="40"/>
        <v>170.00125162121751</v>
      </c>
      <c r="AD92" s="57">
        <f t="shared" si="30"/>
        <v>125.99330715680858</v>
      </c>
      <c r="AE92" s="8">
        <f>AD92/N92</f>
        <v>1.3249448005700573</v>
      </c>
      <c r="AF92" s="8">
        <f t="shared" si="41"/>
        <v>1.4459597536175353</v>
      </c>
      <c r="AG92" s="50">
        <f t="shared" si="42"/>
        <v>137.50101234069069</v>
      </c>
      <c r="AH92" s="49">
        <f t="shared" si="31"/>
        <v>103.986258755533</v>
      </c>
      <c r="AI92" s="8">
        <f>AH92/N92</f>
        <v>1.0935188223720718</v>
      </c>
      <c r="AJ92" s="8">
        <f t="shared" si="43"/>
        <v>1.1983808433103198</v>
      </c>
      <c r="AK92" s="50">
        <f t="shared" si="44"/>
        <v>113.95792912811906</v>
      </c>
      <c r="AM92" s="35" t="e">
        <f t="shared" si="45"/>
        <v>#DIV/0!</v>
      </c>
      <c r="AN92" s="35" t="e">
        <f t="shared" si="46"/>
        <v>#DIV/0!</v>
      </c>
      <c r="AO92" s="35" t="e">
        <f t="shared" si="47"/>
        <v>#DIV/0!</v>
      </c>
    </row>
    <row r="93" spans="1:41">
      <c r="A93">
        <f t="shared" si="48"/>
        <v>2022</v>
      </c>
      <c r="G93" s="30"/>
      <c r="H93" s="30">
        <v>456049.69158417673</v>
      </c>
      <c r="I93" s="30">
        <f t="shared" si="32"/>
        <v>159.6413941946507</v>
      </c>
      <c r="J93" s="30">
        <v>20343325.200000037</v>
      </c>
      <c r="K93" s="30">
        <f t="shared" si="33"/>
        <v>163.04223255047421</v>
      </c>
      <c r="L93" s="30">
        <f t="shared" si="34"/>
        <v>97.914136538353219</v>
      </c>
      <c r="N93">
        <v>130.81163900000001</v>
      </c>
      <c r="O93">
        <v>114.74033996546228</v>
      </c>
      <c r="P93" s="34">
        <f t="shared" si="36"/>
        <v>97.914136538353219</v>
      </c>
      <c r="Q93" s="16">
        <v>129.67753101651664</v>
      </c>
      <c r="R93" s="16">
        <v>137.79343459857893</v>
      </c>
      <c r="S93">
        <v>2.0336219244556788</v>
      </c>
      <c r="T93" s="16">
        <v>111.342</v>
      </c>
      <c r="V93" s="49">
        <f t="shared" si="28"/>
        <v>300.09093193475917</v>
      </c>
      <c r="W93" s="8">
        <f t="shared" si="35"/>
        <v>2.2940690463694837</v>
      </c>
      <c r="X93" s="8">
        <f t="shared" si="37"/>
        <v>2.5035997813968081</v>
      </c>
      <c r="Y93" s="50">
        <f t="shared" si="38"/>
        <v>327.49999080455819</v>
      </c>
      <c r="Z93" s="57">
        <f t="shared" si="29"/>
        <v>230.06102120015319</v>
      </c>
      <c r="AA93" s="8">
        <f>Z93/N93</f>
        <v>1.7587198123872843</v>
      </c>
      <c r="AB93" s="8">
        <f t="shared" si="39"/>
        <v>1.9193539727146773</v>
      </c>
      <c r="AC93" s="50">
        <f t="shared" si="40"/>
        <v>251.07383899196824</v>
      </c>
      <c r="AD93" s="57">
        <f t="shared" si="30"/>
        <v>204.64308160905938</v>
      </c>
      <c r="AE93" s="8">
        <f>AD93/N93</f>
        <v>1.5644103473778763</v>
      </c>
      <c r="AF93" s="8">
        <f t="shared" si="41"/>
        <v>1.7072970885111438</v>
      </c>
      <c r="AG93" s="50">
        <f t="shared" si="42"/>
        <v>223.33433040807083</v>
      </c>
      <c r="AH93" s="49">
        <f t="shared" si="31"/>
        <v>165.91537095529625</v>
      </c>
      <c r="AI93" s="8">
        <f>AH93/N93</f>
        <v>1.2683532766934924</v>
      </c>
      <c r="AJ93" s="8">
        <f t="shared" si="43"/>
        <v>1.3899808930972222</v>
      </c>
      <c r="AK93" s="50">
        <f t="shared" si="44"/>
        <v>181.82567880473144</v>
      </c>
      <c r="AM93" s="35" t="e">
        <f t="shared" si="45"/>
        <v>#DIV/0!</v>
      </c>
      <c r="AN93" s="35" t="e">
        <f t="shared" si="46"/>
        <v>#DIV/0!</v>
      </c>
      <c r="AO93" s="35" t="e">
        <f t="shared" si="47"/>
        <v>#DIV/0!</v>
      </c>
    </row>
    <row r="94" spans="1:41">
      <c r="A94">
        <f t="shared" si="48"/>
        <v>2023</v>
      </c>
      <c r="G94" s="30"/>
      <c r="H94" s="30">
        <v>447586.37598525756</v>
      </c>
      <c r="I94" s="30">
        <f t="shared" si="32"/>
        <v>156.6787883061838</v>
      </c>
      <c r="J94" s="30">
        <v>21087870.612</v>
      </c>
      <c r="K94" s="30">
        <f t="shared" si="33"/>
        <v>169.00941564440058</v>
      </c>
      <c r="L94" s="30">
        <f t="shared" si="34"/>
        <v>92.704177284323222</v>
      </c>
      <c r="N94">
        <v>295.29489711934099</v>
      </c>
      <c r="O94">
        <v>267.69790929016864</v>
      </c>
      <c r="P94" s="34">
        <f t="shared" si="36"/>
        <v>92.704177284323222</v>
      </c>
      <c r="Q94" s="16">
        <v>115.235849893664</v>
      </c>
      <c r="R94" s="16">
        <v>114.61514922655276</v>
      </c>
      <c r="S94">
        <v>2.0945626799084249</v>
      </c>
      <c r="T94" s="14">
        <f>T93</f>
        <v>111.342</v>
      </c>
      <c r="V94" s="49">
        <f t="shared" si="28"/>
        <v>717.96730526516683</v>
      </c>
      <c r="W94" s="8">
        <f t="shared" si="35"/>
        <v>2.4313569664395733</v>
      </c>
      <c r="X94" s="8">
        <f t="shared" si="37"/>
        <v>2.6534270096660921</v>
      </c>
      <c r="Y94" s="50">
        <f t="shared" si="38"/>
        <v>783.54345583302927</v>
      </c>
      <c r="Z94" s="57">
        <f t="shared" si="29"/>
        <v>586.44308332492767</v>
      </c>
      <c r="AA94" s="8">
        <f>Z94/N94</f>
        <v>1.9859573905468524</v>
      </c>
      <c r="AB94" s="8">
        <f t="shared" si="39"/>
        <v>2.1673464871099068</v>
      </c>
      <c r="AC94" s="50">
        <f t="shared" si="40"/>
        <v>640.00635793308504</v>
      </c>
      <c r="AD94" s="57">
        <f t="shared" si="30"/>
        <v>557.30029046349057</v>
      </c>
      <c r="AE94" s="8">
        <f>AD94/N94</f>
        <v>1.8872669182571831</v>
      </c>
      <c r="AF94" s="8">
        <f t="shared" si="41"/>
        <v>2.0596420371320883</v>
      </c>
      <c r="AG94" s="50">
        <f t="shared" si="42"/>
        <v>608.20178345758984</v>
      </c>
      <c r="AH94" s="49">
        <f t="shared" si="31"/>
        <v>375.83076122309177</v>
      </c>
      <c r="AI94" s="8">
        <f>AH94/N94</f>
        <v>1.272730293985415</v>
      </c>
      <c r="AJ94" s="8">
        <f t="shared" si="43"/>
        <v>1.3947776405936207</v>
      </c>
      <c r="AK94" s="50">
        <f t="shared" si="44"/>
        <v>411.87071988345042</v>
      </c>
      <c r="AM94" s="35" t="e">
        <f t="shared" si="45"/>
        <v>#DIV/0!</v>
      </c>
      <c r="AN94" s="35" t="e">
        <f t="shared" si="46"/>
        <v>#DIV/0!</v>
      </c>
      <c r="AO94" s="35" t="e">
        <f t="shared" si="47"/>
        <v>#DIV/0!</v>
      </c>
    </row>
    <row r="95" spans="1:41" ht="15" thickBot="1">
      <c r="A95">
        <f t="shared" si="48"/>
        <v>2024</v>
      </c>
      <c r="G95" s="30"/>
      <c r="H95" s="30">
        <v>441575.60102106683</v>
      </c>
      <c r="I95" s="30">
        <f t="shared" si="32"/>
        <v>154.5747007184026</v>
      </c>
      <c r="J95" s="30">
        <v>21180438.449999999</v>
      </c>
      <c r="K95" s="30">
        <f t="shared" si="33"/>
        <v>169.75130355217931</v>
      </c>
      <c r="L95" s="30">
        <f t="shared" si="34"/>
        <v>91.059507340330015</v>
      </c>
      <c r="N95">
        <v>959.27235294117702</v>
      </c>
      <c r="O95">
        <v>855.7957527791043</v>
      </c>
      <c r="P95" s="34">
        <f t="shared" si="36"/>
        <v>91.059507340330015</v>
      </c>
      <c r="Q95" s="14">
        <f>Q94</f>
        <v>115.235849893664</v>
      </c>
      <c r="R95" s="14">
        <f>R94</f>
        <v>114.61514922655276</v>
      </c>
      <c r="S95">
        <v>2.1081294323028978</v>
      </c>
      <c r="T95" s="14">
        <f>T94</f>
        <v>111.342</v>
      </c>
      <c r="V95" s="51">
        <f t="shared" si="28"/>
        <v>2321.6669152267395</v>
      </c>
      <c r="W95" s="52">
        <f t="shared" si="35"/>
        <v>2.4202374936673539</v>
      </c>
      <c r="X95" s="52">
        <f t="shared" si="37"/>
        <v>2.6412919304513522</v>
      </c>
      <c r="Y95" s="50">
        <f t="shared" si="38"/>
        <v>2533.7183249286122</v>
      </c>
      <c r="Z95" s="58">
        <f t="shared" si="29"/>
        <v>1862.7179747986158</v>
      </c>
      <c r="AA95" s="52">
        <f>Z95/N95</f>
        <v>1.94180304382528</v>
      </c>
      <c r="AB95" s="52">
        <f t="shared" si="39"/>
        <v>2.1191592658164624</v>
      </c>
      <c r="AC95" s="50">
        <f t="shared" si="40"/>
        <v>2032.8508951768551</v>
      </c>
      <c r="AD95" s="58">
        <f t="shared" si="30"/>
        <v>1770.1517810069597</v>
      </c>
      <c r="AE95" s="52">
        <f>AD95/N95</f>
        <v>1.8453067844388362</v>
      </c>
      <c r="AF95" s="52">
        <f t="shared" si="41"/>
        <v>2.0138494390316763</v>
      </c>
      <c r="AG95" s="50">
        <f t="shared" si="42"/>
        <v>1931.8300898491855</v>
      </c>
      <c r="AH95" s="51">
        <f t="shared" si="31"/>
        <v>1193.7504837526017</v>
      </c>
      <c r="AI95" s="52">
        <f>AH95/N95</f>
        <v>1.2444333250015003</v>
      </c>
      <c r="AJ95" s="52">
        <f t="shared" si="43"/>
        <v>1.3637671587799556</v>
      </c>
      <c r="AK95" s="50">
        <f t="shared" si="44"/>
        <v>1308.2241312667518</v>
      </c>
      <c r="AM95" s="35" t="e">
        <f t="shared" si="45"/>
        <v>#DIV/0!</v>
      </c>
      <c r="AN95" s="35" t="e">
        <f t="shared" si="46"/>
        <v>#DIV/0!</v>
      </c>
      <c r="AO95" s="35" t="e">
        <f t="shared" si="47"/>
        <v>#DIV/0!</v>
      </c>
    </row>
  </sheetData>
  <mergeCells count="9">
    <mergeCell ref="Z4:AA4"/>
    <mergeCell ref="AD4:AE4"/>
    <mergeCell ref="B1:F1"/>
    <mergeCell ref="N1:T1"/>
    <mergeCell ref="V1:AI1"/>
    <mergeCell ref="V2:Y2"/>
    <mergeCell ref="Z2:AC2"/>
    <mergeCell ref="AD2:AG2"/>
    <mergeCell ref="AH2:AK2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C3:G8"/>
  <sheetViews>
    <sheetView workbookViewId="0">
      <selection activeCell="D9" sqref="D9"/>
    </sheetView>
  </sheetViews>
  <sheetFormatPr baseColWidth="10" defaultRowHeight="14.4"/>
  <sheetData>
    <row r="3" spans="3:7">
      <c r="D3">
        <v>1.8829344496949594</v>
      </c>
    </row>
    <row r="4" spans="3:7">
      <c r="D4">
        <v>2.0336219244556788</v>
      </c>
      <c r="E4">
        <v>296.79700000000003</v>
      </c>
      <c r="G4" s="15">
        <v>298.99</v>
      </c>
    </row>
    <row r="5" spans="3:7">
      <c r="C5" t="s">
        <v>12</v>
      </c>
      <c r="D5">
        <v>2.1242080153290237</v>
      </c>
      <c r="E5">
        <v>305.69099999999997</v>
      </c>
      <c r="F5">
        <f>E5/E4*D4</f>
        <v>2.0945626799084249</v>
      </c>
      <c r="G5" s="15">
        <v>304.34800000000001</v>
      </c>
    </row>
    <row r="6" spans="3:7">
      <c r="C6" t="s">
        <v>13</v>
      </c>
      <c r="E6" s="15">
        <v>307.02600000000001</v>
      </c>
      <c r="F6">
        <f>E6/E5*F5</f>
        <v>2.1037099599319711</v>
      </c>
    </row>
    <row r="7" spans="3:7">
      <c r="C7" t="s">
        <v>14</v>
      </c>
      <c r="E7" s="15">
        <v>307.78899999999999</v>
      </c>
      <c r="F7">
        <f t="shared" ref="F7:F8" si="0">E7/E6*F6</f>
        <v>2.1089379559304469</v>
      </c>
    </row>
    <row r="8" spans="3:7">
      <c r="C8" t="s">
        <v>15</v>
      </c>
      <c r="E8" s="15">
        <v>307.67099999999999</v>
      </c>
      <c r="F8">
        <f t="shared" si="0"/>
        <v>2.1081294323028978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7"/>
  <sheetViews>
    <sheetView topLeftCell="A20" workbookViewId="0">
      <selection activeCell="F26" sqref="F26"/>
    </sheetView>
  </sheetViews>
  <sheetFormatPr baseColWidth="10" defaultRowHeight="14.4"/>
  <sheetData>
    <row r="2" spans="2:6">
      <c r="C2" t="s">
        <v>8</v>
      </c>
      <c r="D2">
        <v>100</v>
      </c>
      <c r="E2">
        <v>100</v>
      </c>
    </row>
    <row r="3" spans="2:6">
      <c r="B3">
        <v>1990</v>
      </c>
      <c r="C3" s="20">
        <v>5.3979564399032203</v>
      </c>
      <c r="D3">
        <f>D2*(1+(C3/100))</f>
        <v>105.39795643990321</v>
      </c>
      <c r="E3">
        <f t="shared" ref="E3:E5" si="0">D3/D$6</f>
        <v>0.90447072396884942</v>
      </c>
      <c r="F3">
        <v>0.90450000000000008</v>
      </c>
    </row>
    <row r="4" spans="2:6">
      <c r="B4">
        <f>B3+1</f>
        <v>1991</v>
      </c>
      <c r="C4" s="20">
        <v>4.2349639645385304</v>
      </c>
      <c r="D4">
        <f t="shared" ref="D4:D35" si="1">D3*(1+(C4/100))</f>
        <v>109.86152191449312</v>
      </c>
      <c r="E4">
        <f t="shared" si="0"/>
        <v>0.94277473319873084</v>
      </c>
      <c r="F4">
        <v>0.9426000000000001</v>
      </c>
    </row>
    <row r="5" spans="2:6">
      <c r="B5">
        <f t="shared" ref="B5:B35" si="2">B4+1</f>
        <v>1992</v>
      </c>
      <c r="C5" s="20">
        <v>3.0288196781496999</v>
      </c>
      <c r="D5">
        <f t="shared" si="1"/>
        <v>113.18902930895403</v>
      </c>
      <c r="E5">
        <f t="shared" si="0"/>
        <v>0.97132967983847729</v>
      </c>
      <c r="F5">
        <v>0.97089999999999999</v>
      </c>
    </row>
    <row r="6" spans="2:6">
      <c r="B6">
        <f t="shared" si="2"/>
        <v>1993</v>
      </c>
      <c r="C6" s="20">
        <v>2.9516569663855399</v>
      </c>
      <c r="D6">
        <f t="shared" si="1"/>
        <v>116.52998117773593</v>
      </c>
      <c r="E6">
        <f>D6/D$6</f>
        <v>1</v>
      </c>
      <c r="F6">
        <v>1</v>
      </c>
    </row>
    <row r="7" spans="2:6">
      <c r="B7">
        <f t="shared" si="2"/>
        <v>1994</v>
      </c>
      <c r="C7" s="20">
        <v>2.6074415921546001</v>
      </c>
      <c r="D7">
        <f t="shared" si="1"/>
        <v>119.56843237429415</v>
      </c>
      <c r="E7">
        <f t="shared" ref="E7:E35" si="3">D7/D$6</f>
        <v>1.026074415921546</v>
      </c>
      <c r="F7">
        <v>1.026</v>
      </c>
    </row>
    <row r="8" spans="2:6">
      <c r="B8">
        <f t="shared" si="2"/>
        <v>1995</v>
      </c>
      <c r="C8" s="20">
        <v>2.8054196885365501</v>
      </c>
      <c r="D8">
        <f t="shared" si="1"/>
        <v>122.92282871739711</v>
      </c>
      <c r="E8">
        <f t="shared" si="3"/>
        <v>1.0548601096048456</v>
      </c>
      <c r="F8">
        <v>1.0549999999999999</v>
      </c>
    </row>
    <row r="9" spans="2:6">
      <c r="B9">
        <f t="shared" si="2"/>
        <v>1996</v>
      </c>
      <c r="C9" s="20">
        <v>2.9312041999343998</v>
      </c>
      <c r="D9">
        <f t="shared" si="1"/>
        <v>126.52594783543962</v>
      </c>
      <c r="E9">
        <f t="shared" si="3"/>
        <v>1.0857802134410153</v>
      </c>
      <c r="F9">
        <v>1.0859999999999999</v>
      </c>
    </row>
    <row r="10" spans="2:6">
      <c r="B10">
        <f t="shared" si="2"/>
        <v>1997</v>
      </c>
      <c r="C10" s="20">
        <v>2.33768993730741</v>
      </c>
      <c r="D10">
        <f t="shared" si="1"/>
        <v>129.48373218607151</v>
      </c>
      <c r="E10">
        <f t="shared" si="3"/>
        <v>1.1111623882319008</v>
      </c>
      <c r="F10">
        <v>1.111</v>
      </c>
    </row>
    <row r="11" spans="2:6">
      <c r="B11">
        <f t="shared" si="2"/>
        <v>1998</v>
      </c>
      <c r="C11" s="20">
        <v>1.5522790987436199</v>
      </c>
      <c r="D11">
        <f t="shared" si="1"/>
        <v>131.49368109706907</v>
      </c>
      <c r="E11">
        <f t="shared" si="3"/>
        <v>1.1284107297375252</v>
      </c>
      <c r="F11">
        <v>1.1279999999999999</v>
      </c>
    </row>
    <row r="12" spans="2:6">
      <c r="B12">
        <f t="shared" si="2"/>
        <v>1999</v>
      </c>
      <c r="C12" s="20">
        <v>2.1880271969735801</v>
      </c>
      <c r="D12">
        <f t="shared" si="1"/>
        <v>134.37079860177465</v>
      </c>
      <c r="E12">
        <f t="shared" si="3"/>
        <v>1.1531006633977503</v>
      </c>
      <c r="F12">
        <v>1.153</v>
      </c>
    </row>
    <row r="13" spans="2:6">
      <c r="B13">
        <f t="shared" si="2"/>
        <v>2000</v>
      </c>
      <c r="C13" s="20">
        <v>3.3768572714993499</v>
      </c>
      <c r="D13">
        <f t="shared" si="1"/>
        <v>138.90830868513041</v>
      </c>
      <c r="E13">
        <f t="shared" si="3"/>
        <v>1.1920392269974043</v>
      </c>
      <c r="F13">
        <v>1.1919999999999999</v>
      </c>
    </row>
    <row r="14" spans="2:6">
      <c r="B14">
        <f t="shared" si="2"/>
        <v>2001</v>
      </c>
      <c r="C14" s="20">
        <v>2.8261711188540199</v>
      </c>
      <c r="D14">
        <f t="shared" si="1"/>
        <v>142.83409518687816</v>
      </c>
      <c r="E14">
        <f t="shared" si="3"/>
        <v>1.2257282953562156</v>
      </c>
      <c r="F14">
        <v>1.226</v>
      </c>
    </row>
    <row r="15" spans="2:6">
      <c r="B15">
        <f t="shared" si="2"/>
        <v>2002</v>
      </c>
      <c r="C15" s="20">
        <v>1.5860316265060299</v>
      </c>
      <c r="D15">
        <f t="shared" si="1"/>
        <v>145.09948910997579</v>
      </c>
      <c r="E15">
        <f t="shared" si="3"/>
        <v>1.2451687337755986</v>
      </c>
      <c r="F15">
        <v>1.2450000000000001</v>
      </c>
    </row>
    <row r="16" spans="2:6">
      <c r="B16">
        <f t="shared" si="2"/>
        <v>2003</v>
      </c>
      <c r="C16" s="20">
        <v>2.2700949733611302</v>
      </c>
      <c r="D16">
        <f t="shared" si="1"/>
        <v>148.39338531863402</v>
      </c>
      <c r="E16">
        <f t="shared" si="3"/>
        <v>1.2734352466109027</v>
      </c>
      <c r="F16">
        <v>1.2729999999999999</v>
      </c>
    </row>
    <row r="17" spans="2:6">
      <c r="B17">
        <f t="shared" si="2"/>
        <v>2004</v>
      </c>
      <c r="C17" s="20">
        <v>2.67723669309173</v>
      </c>
      <c r="D17">
        <f t="shared" si="1"/>
        <v>152.36622748050547</v>
      </c>
      <c r="E17">
        <f t="shared" si="3"/>
        <v>1.307528122295933</v>
      </c>
      <c r="F17">
        <v>1.3069999999999999</v>
      </c>
    </row>
    <row r="18" spans="2:6">
      <c r="B18">
        <f t="shared" si="2"/>
        <v>2005</v>
      </c>
      <c r="C18" s="20">
        <v>3.3927468454954699</v>
      </c>
      <c r="D18">
        <f t="shared" si="1"/>
        <v>157.53562785695075</v>
      </c>
      <c r="E18">
        <f t="shared" si="3"/>
        <v>1.3518892414190942</v>
      </c>
      <c r="F18">
        <v>1.3518098637415767</v>
      </c>
    </row>
    <row r="19" spans="2:6">
      <c r="B19">
        <f t="shared" si="2"/>
        <v>2006</v>
      </c>
      <c r="C19" s="20">
        <v>3.2259441007040701</v>
      </c>
      <c r="D19">
        <f t="shared" si="1"/>
        <v>162.61763915030917</v>
      </c>
      <c r="E19">
        <f t="shared" si="3"/>
        <v>1.3955004326507063</v>
      </c>
      <c r="F19">
        <v>1.3954825547957348</v>
      </c>
    </row>
    <row r="20" spans="2:6">
      <c r="B20">
        <f t="shared" si="2"/>
        <v>2007</v>
      </c>
      <c r="C20" s="20">
        <v>2.8526724815013602</v>
      </c>
      <c r="D20">
        <f t="shared" si="1"/>
        <v>167.25658779241724</v>
      </c>
      <c r="E20">
        <f t="shared" si="3"/>
        <v>1.4353094894721656</v>
      </c>
      <c r="F20">
        <v>1.4352525517834864</v>
      </c>
    </row>
    <row r="21" spans="2:6">
      <c r="B21">
        <f t="shared" si="2"/>
        <v>2008</v>
      </c>
      <c r="C21" s="20">
        <v>3.8391002966510102</v>
      </c>
      <c r="D21">
        <f t="shared" si="1"/>
        <v>173.67773595052427</v>
      </c>
      <c r="E21">
        <f t="shared" si="3"/>
        <v>1.4904124603403515</v>
      </c>
      <c r="F21">
        <v>1.4902709664236544</v>
      </c>
    </row>
    <row r="22" spans="2:6">
      <c r="B22">
        <f t="shared" si="2"/>
        <v>2009</v>
      </c>
      <c r="C22" s="20">
        <v>-0.35554626629975</v>
      </c>
      <c r="D22">
        <f t="shared" si="1"/>
        <v>173.06023124495823</v>
      </c>
      <c r="E22">
        <f t="shared" si="3"/>
        <v>1.4851133544851451</v>
      </c>
      <c r="F22">
        <v>1.4851001953895027</v>
      </c>
    </row>
    <row r="23" spans="2:6">
      <c r="B23">
        <f t="shared" si="2"/>
        <v>2010</v>
      </c>
      <c r="C23" s="20">
        <v>1.64004344238989</v>
      </c>
      <c r="D23">
        <f t="shared" si="1"/>
        <v>175.89849421887592</v>
      </c>
      <c r="E23">
        <f t="shared" si="3"/>
        <v>1.5094698586674351</v>
      </c>
      <c r="F23">
        <v>1.5094977244430594</v>
      </c>
    </row>
    <row r="24" spans="2:6">
      <c r="B24">
        <f t="shared" si="2"/>
        <v>2011</v>
      </c>
      <c r="C24" s="20">
        <v>3.1568415686220601</v>
      </c>
      <c r="D24">
        <f t="shared" si="1"/>
        <v>181.45133100295766</v>
      </c>
      <c r="E24">
        <f t="shared" si="3"/>
        <v>1.5571214306316692</v>
      </c>
      <c r="F24">
        <v>1.5570928265565678</v>
      </c>
    </row>
    <row r="25" spans="2:6">
      <c r="B25">
        <f t="shared" si="2"/>
        <v>2012</v>
      </c>
      <c r="C25" s="20">
        <v>2.0693372652605899</v>
      </c>
      <c r="D25">
        <f t="shared" si="1"/>
        <v>185.2061710137132</v>
      </c>
      <c r="E25">
        <f t="shared" si="3"/>
        <v>1.5893435246610892</v>
      </c>
      <c r="F25">
        <v>1.5893562123039116</v>
      </c>
    </row>
    <row r="26" spans="2:6">
      <c r="B26">
        <f t="shared" si="2"/>
        <v>2013</v>
      </c>
      <c r="C26" s="20">
        <v>1.46483265562714</v>
      </c>
      <c r="D26">
        <f t="shared" si="1"/>
        <v>187.91913148695872</v>
      </c>
      <c r="E26">
        <f t="shared" si="3"/>
        <v>1.6126247476204201</v>
      </c>
      <c r="F26">
        <v>1.6126492796378304</v>
      </c>
    </row>
    <row r="27" spans="2:6">
      <c r="B27">
        <f t="shared" si="2"/>
        <v>2014</v>
      </c>
      <c r="C27" s="20">
        <v>1.62222297740821</v>
      </c>
      <c r="D27">
        <f t="shared" si="1"/>
        <v>190.96759881688612</v>
      </c>
      <c r="E27">
        <f t="shared" si="3"/>
        <v>1.6387851168156899</v>
      </c>
      <c r="F27">
        <v>1.6387851168156911</v>
      </c>
    </row>
    <row r="28" spans="2:6">
      <c r="B28">
        <f t="shared" si="2"/>
        <v>2015</v>
      </c>
      <c r="C28" s="20">
        <v>0.118627135552435</v>
      </c>
      <c r="D28">
        <f t="shared" si="1"/>
        <v>191.19413820919587</v>
      </c>
      <c r="E28">
        <f t="shared" si="3"/>
        <v>1.640729160657628</v>
      </c>
      <c r="F28">
        <v>1.647</v>
      </c>
    </row>
    <row r="29" spans="2:6">
      <c r="B29">
        <f t="shared" si="2"/>
        <v>2016</v>
      </c>
      <c r="C29" s="20">
        <v>1.26158320570537</v>
      </c>
      <c r="D29">
        <f t="shared" si="1"/>
        <v>193.6062113471362</v>
      </c>
      <c r="E29">
        <f t="shared" si="3"/>
        <v>1.6614283241995953</v>
      </c>
      <c r="F29">
        <v>1.6677771172531926</v>
      </c>
    </row>
    <row r="30" spans="2:6">
      <c r="B30">
        <f t="shared" si="2"/>
        <v>2017</v>
      </c>
      <c r="C30" s="20">
        <v>2.1301100036596301</v>
      </c>
      <c r="D30">
        <f t="shared" si="1"/>
        <v>197.73023662274795</v>
      </c>
      <c r="E30">
        <f t="shared" si="3"/>
        <v>1.6968185751370055</v>
      </c>
      <c r="F30">
        <v>1.703306682643017</v>
      </c>
    </row>
    <row r="31" spans="2:6">
      <c r="B31">
        <f t="shared" si="2"/>
        <v>2018</v>
      </c>
      <c r="C31" s="20">
        <v>2.4425832969281802</v>
      </c>
      <c r="D31">
        <f t="shared" si="1"/>
        <v>202.55996235547178</v>
      </c>
      <c r="E31">
        <f t="shared" si="3"/>
        <v>1.7382647822324768</v>
      </c>
      <c r="F31">
        <v>1.7449095592299284</v>
      </c>
    </row>
    <row r="32" spans="2:6">
      <c r="B32">
        <f t="shared" si="2"/>
        <v>2019</v>
      </c>
      <c r="C32" s="20">
        <v>1.81221007526015</v>
      </c>
      <c r="D32">
        <f t="shared" si="1"/>
        <v>206.23077440172082</v>
      </c>
      <c r="E32">
        <f t="shared" si="3"/>
        <v>1.7697657917507927</v>
      </c>
      <c r="F32">
        <v>1.7765269115717437</v>
      </c>
    </row>
    <row r="33" spans="2:6">
      <c r="B33">
        <f t="shared" si="2"/>
        <v>2020</v>
      </c>
      <c r="C33" s="20">
        <v>1.23358439630637</v>
      </c>
      <c r="D33">
        <f t="shared" si="1"/>
        <v>208.77480505512224</v>
      </c>
      <c r="E33">
        <f t="shared" si="3"/>
        <v>1.7915973464089985</v>
      </c>
      <c r="F33">
        <v>1.798445995106134</v>
      </c>
    </row>
    <row r="34" spans="2:6">
      <c r="B34">
        <f t="shared" si="2"/>
        <v>2021</v>
      </c>
      <c r="C34" s="20">
        <v>4.6978588636373901</v>
      </c>
      <c r="D34">
        <f t="shared" si="1"/>
        <v>218.58275073944597</v>
      </c>
      <c r="E34">
        <f t="shared" si="3"/>
        <v>1.8757640611479658</v>
      </c>
      <c r="F34">
        <v>1.8829344496949594</v>
      </c>
    </row>
    <row r="35" spans="2:6">
      <c r="B35">
        <f t="shared" si="2"/>
        <v>2022</v>
      </c>
      <c r="C35" s="20">
        <v>8.0027998205211706</v>
      </c>
      <c r="D35">
        <f t="shared" si="1"/>
        <v>236.07549072331258</v>
      </c>
      <c r="E35">
        <f t="shared" si="3"/>
        <v>2.0258777040669158</v>
      </c>
      <c r="F35">
        <v>2.0336219244556788</v>
      </c>
    </row>
    <row r="36" spans="2:6">
      <c r="F36">
        <v>2.0945626799084249</v>
      </c>
    </row>
    <row r="37" spans="2:6">
      <c r="F37">
        <v>2.1081294323028978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Propia</vt:lpstr>
      <vt:lpstr>Largo Plazo</vt:lpstr>
      <vt:lpstr>Corporaciones</vt:lpstr>
      <vt:lpstr>Hoja2</vt:lpstr>
      <vt:lpstr>Hoja3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</dc:creator>
  <cp:lastModifiedBy>Manu</cp:lastModifiedBy>
  <dcterms:created xsi:type="dcterms:W3CDTF">2023-04-26T15:42:29Z</dcterms:created>
  <dcterms:modified xsi:type="dcterms:W3CDTF">2025-12-15T16:44:31Z</dcterms:modified>
</cp:coreProperties>
</file>